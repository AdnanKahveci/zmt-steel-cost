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908E716-780A-46DA-8354-345B8C15D12D}" xr6:coauthVersionLast="47" xr6:coauthVersionMax="47" xr10:uidLastSave="{00000000-0000-0000-0000-000000000000}"/>
  <bookViews>
    <workbookView xWindow="-120" yWindow="-120" windowWidth="38640" windowHeight="21120" tabRatio="582" xr2:uid="{00000000-000D-0000-FFFF-FFFF00000000}"/>
  </bookViews>
  <sheets>
    <sheet name="BİNA BİLGİLERİ" sheetId="3" r:id="rId1"/>
    <sheet name="TEKLİF" sheetId="1" r:id="rId2"/>
    <sheet name="İSİMLENDİRME" sheetId="4" r:id="rId3"/>
    <sheet name="FORMÜL" sheetId="2" state="hidden" r:id="rId4"/>
  </sheets>
  <definedNames>
    <definedName name="_xlnm._FilterDatabase" localSheetId="1" hidden="1">TEKLİF!$D$8:$D$227</definedName>
    <definedName name="_xlnm.Print_Area" localSheetId="1">TEKLİF!$A$1:$Q$227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0" i="3" l="1"/>
  <c r="F84" i="3"/>
  <c r="F85" i="3"/>
  <c r="F76" i="3"/>
  <c r="C85" i="3"/>
  <c r="B29" i="3"/>
  <c r="B30" i="3"/>
  <c r="D40" i="1" s="1"/>
  <c r="B18" i="3"/>
  <c r="B36" i="3" s="1"/>
  <c r="R17" i="4" s="1"/>
  <c r="B17" i="3"/>
  <c r="D20" i="1"/>
  <c r="D47" i="1"/>
  <c r="E57" i="1"/>
  <c r="D56" i="1"/>
  <c r="D55" i="1"/>
  <c r="D219" i="1"/>
  <c r="D216" i="1"/>
  <c r="D214" i="1"/>
  <c r="D211" i="1"/>
  <c r="D207" i="1"/>
  <c r="D195" i="1"/>
  <c r="D199" i="1"/>
  <c r="D204" i="1" s="1"/>
  <c r="D192" i="1"/>
  <c r="D188" i="1"/>
  <c r="D191" i="1" s="1"/>
  <c r="D179" i="1"/>
  <c r="D182" i="1" s="1"/>
  <c r="D183" i="1"/>
  <c r="D187" i="1" s="1"/>
  <c r="D177" i="1"/>
  <c r="D178" i="1" s="1"/>
  <c r="D174" i="1"/>
  <c r="D176" i="1" s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54" i="1"/>
  <c r="D151" i="1"/>
  <c r="D150" i="1"/>
  <c r="D148" i="1"/>
  <c r="D133" i="1"/>
  <c r="D31" i="1"/>
  <c r="D144" i="1"/>
  <c r="D143" i="1"/>
  <c r="D142" i="1"/>
  <c r="D141" i="1"/>
  <c r="D140" i="1"/>
  <c r="D132" i="1"/>
  <c r="D129" i="1"/>
  <c r="D128" i="1"/>
  <c r="D124" i="1"/>
  <c r="D121" i="1"/>
  <c r="D114" i="1"/>
  <c r="D117" i="1" s="1"/>
  <c r="D110" i="1"/>
  <c r="D108" i="1"/>
  <c r="D107" i="1"/>
  <c r="D112" i="1" s="1"/>
  <c r="D106" i="1"/>
  <c r="D105" i="1"/>
  <c r="D104" i="1"/>
  <c r="D103" i="1"/>
  <c r="D52" i="1"/>
  <c r="D51" i="1"/>
  <c r="N93" i="1"/>
  <c r="N92" i="1"/>
  <c r="N91" i="1"/>
  <c r="N90" i="1"/>
  <c r="N89" i="1"/>
  <c r="N88" i="1"/>
  <c r="N87" i="1"/>
  <c r="N86" i="1"/>
  <c r="N85" i="1"/>
  <c r="N84" i="1"/>
  <c r="N83" i="1"/>
  <c r="N82" i="1"/>
  <c r="D49" i="1"/>
  <c r="D36" i="1"/>
  <c r="D175" i="1" l="1"/>
  <c r="D206" i="1"/>
  <c r="D189" i="1"/>
  <c r="D190" i="1"/>
  <c r="D184" i="1"/>
  <c r="D185" i="1"/>
  <c r="D186" i="1"/>
  <c r="D200" i="1"/>
  <c r="D201" i="1"/>
  <c r="D203" i="1"/>
  <c r="D205" i="1"/>
  <c r="D180" i="1"/>
  <c r="D181" i="1"/>
  <c r="D116" i="1"/>
  <c r="D118" i="1"/>
  <c r="P17" i="4"/>
  <c r="Q17" i="4" s="1"/>
  <c r="E83" i="1"/>
  <c r="E84" i="1"/>
  <c r="E85" i="1"/>
  <c r="E86" i="1"/>
  <c r="E87" i="1"/>
  <c r="E88" i="1"/>
  <c r="E89" i="1"/>
  <c r="E90" i="1"/>
  <c r="E91" i="1"/>
  <c r="E92" i="1"/>
  <c r="E93" i="1"/>
  <c r="E82" i="1"/>
  <c r="D83" i="1"/>
  <c r="O83" i="1" s="1"/>
  <c r="P83" i="1" s="1"/>
  <c r="D84" i="1"/>
  <c r="O84" i="1" s="1"/>
  <c r="P84" i="1" s="1"/>
  <c r="D85" i="1"/>
  <c r="O85" i="1" s="1"/>
  <c r="P85" i="1" s="1"/>
  <c r="D86" i="1"/>
  <c r="O86" i="1" s="1"/>
  <c r="P86" i="1" s="1"/>
  <c r="D87" i="1"/>
  <c r="O87" i="1" s="1"/>
  <c r="P87" i="1" s="1"/>
  <c r="D88" i="1"/>
  <c r="O88" i="1" s="1"/>
  <c r="P88" i="1" s="1"/>
  <c r="D89" i="1"/>
  <c r="O89" i="1" s="1"/>
  <c r="P89" i="1" s="1"/>
  <c r="D90" i="1"/>
  <c r="O90" i="1" s="1"/>
  <c r="P90" i="1" s="1"/>
  <c r="D91" i="1"/>
  <c r="O91" i="1" s="1"/>
  <c r="P91" i="1" s="1"/>
  <c r="D92" i="1"/>
  <c r="O92" i="1" s="1"/>
  <c r="P92" i="1" s="1"/>
  <c r="D93" i="1"/>
  <c r="O93" i="1" s="1"/>
  <c r="P93" i="1" s="1"/>
  <c r="D82" i="1"/>
  <c r="D77" i="1"/>
  <c r="D78" i="1"/>
  <c r="D79" i="1"/>
  <c r="D80" i="1"/>
  <c r="D76" i="1"/>
  <c r="D137" i="1"/>
  <c r="D25" i="1"/>
  <c r="D26" i="1"/>
  <c r="D27" i="1"/>
  <c r="D28" i="1"/>
  <c r="D29" i="1"/>
  <c r="D24" i="1"/>
  <c r="D22" i="1"/>
  <c r="D17" i="1"/>
  <c r="D16" i="1"/>
  <c r="D14" i="1"/>
  <c r="D13" i="1"/>
  <c r="D12" i="1"/>
  <c r="D10" i="1"/>
  <c r="I221" i="1"/>
  <c r="E198" i="1"/>
  <c r="E197" i="1"/>
  <c r="E196" i="1"/>
  <c r="E195" i="1"/>
  <c r="I198" i="1"/>
  <c r="I197" i="1"/>
  <c r="K197" i="1" s="1"/>
  <c r="I196" i="1"/>
  <c r="K196" i="1" s="1"/>
  <c r="I195" i="1"/>
  <c r="K198" i="1"/>
  <c r="K199" i="1"/>
  <c r="E199" i="1" s="1"/>
  <c r="L199" i="1" s="1"/>
  <c r="K200" i="1"/>
  <c r="E200" i="1" s="1"/>
  <c r="L200" i="1" s="1"/>
  <c r="K201" i="1"/>
  <c r="E201" i="1" s="1"/>
  <c r="L201" i="1" s="1"/>
  <c r="M201" i="1" s="1"/>
  <c r="K202" i="1"/>
  <c r="E202" i="1" s="1"/>
  <c r="L202" i="1" s="1"/>
  <c r="M202" i="1" s="1"/>
  <c r="K203" i="1"/>
  <c r="E203" i="1" s="1"/>
  <c r="L203" i="1" s="1"/>
  <c r="M203" i="1" s="1"/>
  <c r="K204" i="1"/>
  <c r="E204" i="1" s="1"/>
  <c r="L204" i="1" s="1"/>
  <c r="M204" i="1" s="1"/>
  <c r="K205" i="1"/>
  <c r="E205" i="1" s="1"/>
  <c r="L205" i="1" s="1"/>
  <c r="M205" i="1" s="1"/>
  <c r="K206" i="1"/>
  <c r="E206" i="1" s="1"/>
  <c r="L206" i="1" s="1"/>
  <c r="M206" i="1" s="1"/>
  <c r="K207" i="1"/>
  <c r="E207" i="1" s="1"/>
  <c r="L207" i="1" s="1"/>
  <c r="M207" i="1" s="1"/>
  <c r="I10" i="1"/>
  <c r="K59" i="1"/>
  <c r="E59" i="1" s="1"/>
  <c r="K60" i="1"/>
  <c r="E60" i="1" s="1"/>
  <c r="E55" i="1"/>
  <c r="L94" i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61" i="1"/>
  <c r="K61" i="1" s="1"/>
  <c r="I58" i="1"/>
  <c r="K58" i="1" s="1"/>
  <c r="I57" i="1"/>
  <c r="K57" i="1" s="1"/>
  <c r="I56" i="1"/>
  <c r="K56" i="1" s="1"/>
  <c r="I55" i="1"/>
  <c r="K55" i="1" s="1"/>
  <c r="K211" i="1"/>
  <c r="E211" i="1" s="1"/>
  <c r="L211" i="1" s="1"/>
  <c r="M211" i="1" s="1"/>
  <c r="K212" i="1"/>
  <c r="E212" i="1" s="1"/>
  <c r="L212" i="1" s="1"/>
  <c r="M212" i="1" s="1"/>
  <c r="K213" i="1"/>
  <c r="E213" i="1" s="1"/>
  <c r="L213" i="1" s="1"/>
  <c r="M213" i="1" s="1"/>
  <c r="K214" i="1"/>
  <c r="E214" i="1" s="1"/>
  <c r="L214" i="1" s="1"/>
  <c r="M214" i="1" s="1"/>
  <c r="K215" i="1"/>
  <c r="E215" i="1" s="1"/>
  <c r="L215" i="1" s="1"/>
  <c r="M215" i="1" s="1"/>
  <c r="K216" i="1"/>
  <c r="E216" i="1" s="1"/>
  <c r="L216" i="1" s="1"/>
  <c r="M216" i="1" s="1"/>
  <c r="K217" i="1"/>
  <c r="E217" i="1" s="1"/>
  <c r="L217" i="1" s="1"/>
  <c r="M217" i="1" s="1"/>
  <c r="K218" i="1"/>
  <c r="E218" i="1" s="1"/>
  <c r="L218" i="1" s="1"/>
  <c r="M218" i="1" s="1"/>
  <c r="K219" i="1"/>
  <c r="E219" i="1" s="1"/>
  <c r="L219" i="1" s="1"/>
  <c r="M219" i="1" s="1"/>
  <c r="K220" i="1"/>
  <c r="E220" i="1" s="1"/>
  <c r="L220" i="1" s="1"/>
  <c r="M220" i="1" s="1"/>
  <c r="K210" i="1"/>
  <c r="E210" i="1" s="1"/>
  <c r="L210" i="1" s="1"/>
  <c r="M210" i="1" s="1"/>
  <c r="S17" i="4" l="1"/>
  <c r="B34" i="3" s="1"/>
  <c r="D147" i="1"/>
  <c r="O82" i="1"/>
  <c r="P82" i="1" s="1"/>
  <c r="Q82" i="1" s="1"/>
  <c r="D50" i="1" s="1"/>
  <c r="D131" i="1"/>
  <c r="D138" i="1"/>
  <c r="M221" i="1"/>
  <c r="M200" i="1"/>
  <c r="M199" i="1"/>
  <c r="L221" i="1"/>
  <c r="K155" i="1"/>
  <c r="E155" i="1" s="1"/>
  <c r="L155" i="1" s="1"/>
  <c r="M155" i="1" s="1"/>
  <c r="K156" i="1"/>
  <c r="E156" i="1" s="1"/>
  <c r="L156" i="1" s="1"/>
  <c r="M156" i="1" s="1"/>
  <c r="K157" i="1"/>
  <c r="E157" i="1" s="1"/>
  <c r="L157" i="1" s="1"/>
  <c r="M157" i="1" s="1"/>
  <c r="K158" i="1"/>
  <c r="E158" i="1" s="1"/>
  <c r="L158" i="1" s="1"/>
  <c r="M158" i="1" s="1"/>
  <c r="K159" i="1"/>
  <c r="E159" i="1" s="1"/>
  <c r="L159" i="1" s="1"/>
  <c r="M159" i="1" s="1"/>
  <c r="K160" i="1"/>
  <c r="E160" i="1" s="1"/>
  <c r="L160" i="1" s="1"/>
  <c r="M160" i="1" s="1"/>
  <c r="K161" i="1"/>
  <c r="E161" i="1" s="1"/>
  <c r="L161" i="1" s="1"/>
  <c r="M161" i="1" s="1"/>
  <c r="K162" i="1"/>
  <c r="E162" i="1" s="1"/>
  <c r="L162" i="1" s="1"/>
  <c r="M162" i="1" s="1"/>
  <c r="K163" i="1"/>
  <c r="E163" i="1" s="1"/>
  <c r="L163" i="1" s="1"/>
  <c r="M163" i="1" s="1"/>
  <c r="K164" i="1"/>
  <c r="E164" i="1" s="1"/>
  <c r="L164" i="1" s="1"/>
  <c r="M164" i="1" s="1"/>
  <c r="K165" i="1"/>
  <c r="E165" i="1" s="1"/>
  <c r="L165" i="1" s="1"/>
  <c r="M165" i="1" s="1"/>
  <c r="K166" i="1"/>
  <c r="E166" i="1" s="1"/>
  <c r="L166" i="1" s="1"/>
  <c r="M166" i="1" s="1"/>
  <c r="K167" i="1"/>
  <c r="E167" i="1" s="1"/>
  <c r="L167" i="1" s="1"/>
  <c r="M167" i="1" s="1"/>
  <c r="K168" i="1"/>
  <c r="E168" i="1" s="1"/>
  <c r="L168" i="1" s="1"/>
  <c r="M168" i="1" s="1"/>
  <c r="K169" i="1"/>
  <c r="E169" i="1" s="1"/>
  <c r="L169" i="1" s="1"/>
  <c r="M169" i="1" s="1"/>
  <c r="K170" i="1"/>
  <c r="E170" i="1" s="1"/>
  <c r="L170" i="1" s="1"/>
  <c r="M170" i="1" s="1"/>
  <c r="K171" i="1"/>
  <c r="E171" i="1" s="1"/>
  <c r="L171" i="1" s="1"/>
  <c r="M171" i="1" s="1"/>
  <c r="K172" i="1"/>
  <c r="E172" i="1" s="1"/>
  <c r="L172" i="1" s="1"/>
  <c r="M172" i="1" s="1"/>
  <c r="K173" i="1"/>
  <c r="E173" i="1" s="1"/>
  <c r="L173" i="1" s="1"/>
  <c r="M173" i="1" s="1"/>
  <c r="K174" i="1"/>
  <c r="E174" i="1" s="1"/>
  <c r="L174" i="1" s="1"/>
  <c r="M174" i="1" s="1"/>
  <c r="K175" i="1"/>
  <c r="E175" i="1" s="1"/>
  <c r="L175" i="1" s="1"/>
  <c r="M175" i="1" s="1"/>
  <c r="K176" i="1"/>
  <c r="E176" i="1" s="1"/>
  <c r="L176" i="1" s="1"/>
  <c r="M176" i="1" s="1"/>
  <c r="K177" i="1"/>
  <c r="E177" i="1" s="1"/>
  <c r="L177" i="1" s="1"/>
  <c r="M177" i="1" s="1"/>
  <c r="K178" i="1"/>
  <c r="E178" i="1" s="1"/>
  <c r="L178" i="1" s="1"/>
  <c r="M178" i="1" s="1"/>
  <c r="K179" i="1"/>
  <c r="E179" i="1" s="1"/>
  <c r="L179" i="1" s="1"/>
  <c r="M179" i="1" s="1"/>
  <c r="K180" i="1"/>
  <c r="E180" i="1" s="1"/>
  <c r="L180" i="1" s="1"/>
  <c r="M180" i="1" s="1"/>
  <c r="K181" i="1"/>
  <c r="E181" i="1" s="1"/>
  <c r="L181" i="1" s="1"/>
  <c r="M181" i="1" s="1"/>
  <c r="K182" i="1"/>
  <c r="E182" i="1" s="1"/>
  <c r="L182" i="1" s="1"/>
  <c r="M182" i="1" s="1"/>
  <c r="K183" i="1"/>
  <c r="E183" i="1" s="1"/>
  <c r="L183" i="1" s="1"/>
  <c r="M183" i="1" s="1"/>
  <c r="K184" i="1"/>
  <c r="E184" i="1" s="1"/>
  <c r="L184" i="1" s="1"/>
  <c r="M184" i="1" s="1"/>
  <c r="K185" i="1"/>
  <c r="E185" i="1" s="1"/>
  <c r="L185" i="1" s="1"/>
  <c r="M185" i="1" s="1"/>
  <c r="K186" i="1"/>
  <c r="E186" i="1" s="1"/>
  <c r="L186" i="1" s="1"/>
  <c r="M186" i="1" s="1"/>
  <c r="K187" i="1"/>
  <c r="E187" i="1" s="1"/>
  <c r="L187" i="1" s="1"/>
  <c r="M187" i="1" s="1"/>
  <c r="K188" i="1"/>
  <c r="E188" i="1" s="1"/>
  <c r="L188" i="1" s="1"/>
  <c r="M188" i="1" s="1"/>
  <c r="K189" i="1"/>
  <c r="E189" i="1" s="1"/>
  <c r="L189" i="1" s="1"/>
  <c r="M189" i="1" s="1"/>
  <c r="K190" i="1"/>
  <c r="E190" i="1" s="1"/>
  <c r="L190" i="1" s="1"/>
  <c r="M190" i="1" s="1"/>
  <c r="K191" i="1"/>
  <c r="E191" i="1" s="1"/>
  <c r="L191" i="1" s="1"/>
  <c r="M191" i="1" s="1"/>
  <c r="K192" i="1"/>
  <c r="E192" i="1" s="1"/>
  <c r="L192" i="1" s="1"/>
  <c r="M192" i="1" s="1"/>
  <c r="K154" i="1"/>
  <c r="E154" i="1" s="1"/>
  <c r="L154" i="1" s="1"/>
  <c r="M154" i="1" s="1"/>
  <c r="K139" i="1"/>
  <c r="K140" i="1"/>
  <c r="K141" i="1"/>
  <c r="K142" i="1"/>
  <c r="K143" i="1"/>
  <c r="E143" i="1" s="1"/>
  <c r="L143" i="1" s="1"/>
  <c r="M143" i="1" s="1"/>
  <c r="K144" i="1"/>
  <c r="E144" i="1" s="1"/>
  <c r="L144" i="1" s="1"/>
  <c r="M144" i="1" s="1"/>
  <c r="K145" i="1"/>
  <c r="E145" i="1" s="1"/>
  <c r="L145" i="1" s="1"/>
  <c r="M145" i="1" s="1"/>
  <c r="K150" i="1"/>
  <c r="E150" i="1" s="1"/>
  <c r="L150" i="1" s="1"/>
  <c r="M150" i="1" s="1"/>
  <c r="K151" i="1"/>
  <c r="E151" i="1" s="1"/>
  <c r="L151" i="1" s="1"/>
  <c r="M151" i="1" s="1"/>
  <c r="K137" i="1"/>
  <c r="E137" i="1" s="1"/>
  <c r="L137" i="1" s="1"/>
  <c r="M137" i="1" s="1"/>
  <c r="E139" i="1"/>
  <c r="L139" i="1" s="1"/>
  <c r="M139" i="1" s="1"/>
  <c r="E140" i="1"/>
  <c r="L140" i="1" s="1"/>
  <c r="M140" i="1" s="1"/>
  <c r="E141" i="1"/>
  <c r="L141" i="1" s="1"/>
  <c r="M141" i="1" s="1"/>
  <c r="E142" i="1"/>
  <c r="L142" i="1" s="1"/>
  <c r="M142" i="1" s="1"/>
  <c r="E99" i="1"/>
  <c r="L99" i="1" s="1"/>
  <c r="M99" i="1" s="1"/>
  <c r="K128" i="1"/>
  <c r="E128" i="1" s="1"/>
  <c r="L128" i="1" s="1"/>
  <c r="M128" i="1" s="1"/>
  <c r="K129" i="1"/>
  <c r="E129" i="1" s="1"/>
  <c r="L129" i="1" s="1"/>
  <c r="M129" i="1" s="1"/>
  <c r="K130" i="1"/>
  <c r="E130" i="1" s="1"/>
  <c r="L130" i="1" s="1"/>
  <c r="M130" i="1" s="1"/>
  <c r="K131" i="1"/>
  <c r="E131" i="1" s="1"/>
  <c r="L131" i="1" s="1"/>
  <c r="M131" i="1" s="1"/>
  <c r="K132" i="1"/>
  <c r="E132" i="1" s="1"/>
  <c r="L132" i="1" s="1"/>
  <c r="M132" i="1" s="1"/>
  <c r="K133" i="1"/>
  <c r="E133" i="1" s="1"/>
  <c r="L133" i="1" s="1"/>
  <c r="M133" i="1" s="1"/>
  <c r="K134" i="1"/>
  <c r="E134" i="1" s="1"/>
  <c r="L134" i="1" s="1"/>
  <c r="M134" i="1" s="1"/>
  <c r="K127" i="1"/>
  <c r="E127" i="1" s="1"/>
  <c r="L127" i="1" s="1"/>
  <c r="K98" i="1"/>
  <c r="E98" i="1" s="1"/>
  <c r="L98" i="1" s="1"/>
  <c r="M98" i="1" s="1"/>
  <c r="K99" i="1"/>
  <c r="K100" i="1"/>
  <c r="E100" i="1" s="1"/>
  <c r="L100" i="1" s="1"/>
  <c r="M100" i="1" s="1"/>
  <c r="K101" i="1"/>
  <c r="E101" i="1" s="1"/>
  <c r="L101" i="1" s="1"/>
  <c r="M101" i="1" s="1"/>
  <c r="K102" i="1"/>
  <c r="E102" i="1" s="1"/>
  <c r="L102" i="1" s="1"/>
  <c r="M102" i="1" s="1"/>
  <c r="K103" i="1"/>
  <c r="E103" i="1" s="1"/>
  <c r="L103" i="1" s="1"/>
  <c r="M103" i="1" s="1"/>
  <c r="K104" i="1"/>
  <c r="E104" i="1" s="1"/>
  <c r="L104" i="1" s="1"/>
  <c r="M104" i="1" s="1"/>
  <c r="K105" i="1"/>
  <c r="E105" i="1" s="1"/>
  <c r="L105" i="1" s="1"/>
  <c r="M105" i="1" s="1"/>
  <c r="K106" i="1"/>
  <c r="E106" i="1" s="1"/>
  <c r="L106" i="1" s="1"/>
  <c r="M106" i="1" s="1"/>
  <c r="K107" i="1"/>
  <c r="E107" i="1" s="1"/>
  <c r="L107" i="1" s="1"/>
  <c r="M107" i="1" s="1"/>
  <c r="K108" i="1"/>
  <c r="E108" i="1" s="1"/>
  <c r="L108" i="1" s="1"/>
  <c r="M108" i="1" s="1"/>
  <c r="K109" i="1"/>
  <c r="E109" i="1" s="1"/>
  <c r="L109" i="1" s="1"/>
  <c r="M109" i="1" s="1"/>
  <c r="K110" i="1"/>
  <c r="E110" i="1" s="1"/>
  <c r="L110" i="1" s="1"/>
  <c r="M110" i="1" s="1"/>
  <c r="K111" i="1"/>
  <c r="E111" i="1" s="1"/>
  <c r="L111" i="1" s="1"/>
  <c r="M111" i="1" s="1"/>
  <c r="K112" i="1"/>
  <c r="E112" i="1" s="1"/>
  <c r="L112" i="1" s="1"/>
  <c r="M112" i="1" s="1"/>
  <c r="K113" i="1"/>
  <c r="E113" i="1" s="1"/>
  <c r="L113" i="1" s="1"/>
  <c r="M113" i="1" s="1"/>
  <c r="K114" i="1"/>
  <c r="E114" i="1" s="1"/>
  <c r="L114" i="1" s="1"/>
  <c r="M114" i="1" s="1"/>
  <c r="K115" i="1"/>
  <c r="E115" i="1" s="1"/>
  <c r="L115" i="1" s="1"/>
  <c r="M115" i="1" s="1"/>
  <c r="K116" i="1"/>
  <c r="E116" i="1" s="1"/>
  <c r="L116" i="1" s="1"/>
  <c r="M116" i="1" s="1"/>
  <c r="K117" i="1"/>
  <c r="E117" i="1" s="1"/>
  <c r="L117" i="1" s="1"/>
  <c r="M117" i="1" s="1"/>
  <c r="K118" i="1"/>
  <c r="E118" i="1" s="1"/>
  <c r="L118" i="1" s="1"/>
  <c r="M118" i="1" s="1"/>
  <c r="K119" i="1"/>
  <c r="E119" i="1" s="1"/>
  <c r="L119" i="1" s="1"/>
  <c r="M119" i="1" s="1"/>
  <c r="K120" i="1"/>
  <c r="E120" i="1" s="1"/>
  <c r="L120" i="1" s="1"/>
  <c r="M120" i="1" s="1"/>
  <c r="K121" i="1"/>
  <c r="E121" i="1" s="1"/>
  <c r="L121" i="1" s="1"/>
  <c r="M121" i="1" s="1"/>
  <c r="K122" i="1"/>
  <c r="E122" i="1" s="1"/>
  <c r="L122" i="1" s="1"/>
  <c r="M122" i="1" s="1"/>
  <c r="K123" i="1"/>
  <c r="E123" i="1" s="1"/>
  <c r="L123" i="1" s="1"/>
  <c r="M123" i="1" s="1"/>
  <c r="K124" i="1"/>
  <c r="E124" i="1" s="1"/>
  <c r="L124" i="1" s="1"/>
  <c r="M124" i="1" s="1"/>
  <c r="K97" i="1"/>
  <c r="E97" i="1"/>
  <c r="L97" i="1" s="1"/>
  <c r="M97" i="1" s="1"/>
  <c r="J220" i="1"/>
  <c r="J219" i="1"/>
  <c r="J218" i="1"/>
  <c r="J217" i="1"/>
  <c r="J216" i="1"/>
  <c r="J215" i="1"/>
  <c r="J214" i="1"/>
  <c r="J213" i="1"/>
  <c r="J212" i="1"/>
  <c r="J211" i="1"/>
  <c r="J210" i="1"/>
  <c r="J198" i="1"/>
  <c r="J197" i="1"/>
  <c r="J196" i="1"/>
  <c r="J207" i="1"/>
  <c r="J206" i="1"/>
  <c r="J205" i="1"/>
  <c r="J204" i="1"/>
  <c r="J203" i="1"/>
  <c r="J202" i="1"/>
  <c r="J201" i="1"/>
  <c r="J200" i="1"/>
  <c r="J199" i="1"/>
  <c r="D57" i="1" l="1"/>
  <c r="J57" i="1" s="1"/>
  <c r="D145" i="1"/>
  <c r="J145" i="1" s="1"/>
  <c r="D39" i="1"/>
  <c r="D127" i="1" s="1"/>
  <c r="J127" i="1" s="1"/>
  <c r="D42" i="1"/>
  <c r="D43" i="1"/>
  <c r="D44" i="1"/>
  <c r="D45" i="1"/>
  <c r="D46" i="1"/>
  <c r="D48" i="1"/>
  <c r="D41" i="1"/>
  <c r="D130" i="1" s="1"/>
  <c r="J130" i="1" s="1"/>
  <c r="J221" i="1"/>
  <c r="L135" i="1"/>
  <c r="M127" i="1"/>
  <c r="J195" i="1"/>
  <c r="J208" i="1" s="1"/>
  <c r="K195" i="1"/>
  <c r="L193" i="1"/>
  <c r="L125" i="1"/>
  <c r="K125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54" i="1"/>
  <c r="J150" i="1"/>
  <c r="J151" i="1"/>
  <c r="J144" i="1"/>
  <c r="J143" i="1"/>
  <c r="J142" i="1"/>
  <c r="J141" i="1"/>
  <c r="J140" i="1"/>
  <c r="J139" i="1"/>
  <c r="J137" i="1"/>
  <c r="J134" i="1"/>
  <c r="J133" i="1"/>
  <c r="J132" i="1"/>
  <c r="J131" i="1"/>
  <c r="J129" i="1"/>
  <c r="J128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97" i="1"/>
  <c r="J92" i="1"/>
  <c r="J93" i="1"/>
  <c r="J91" i="1"/>
  <c r="J90" i="1"/>
  <c r="J89" i="1"/>
  <c r="J88" i="1"/>
  <c r="J87" i="1"/>
  <c r="J86" i="1"/>
  <c r="J85" i="1"/>
  <c r="J84" i="1"/>
  <c r="J83" i="1"/>
  <c r="J82" i="1"/>
  <c r="J80" i="1"/>
  <c r="J79" i="1"/>
  <c r="J77" i="1"/>
  <c r="J76" i="1"/>
  <c r="J56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55" i="1"/>
  <c r="J21" i="1"/>
  <c r="J20" i="1"/>
  <c r="J39" i="1" l="1"/>
  <c r="J193" i="1"/>
  <c r="J125" i="1"/>
  <c r="J74" i="1"/>
  <c r="J135" i="1"/>
  <c r="I52" i="1" l="1"/>
  <c r="I51" i="1"/>
  <c r="I50" i="1"/>
  <c r="I49" i="1"/>
  <c r="I48" i="1"/>
  <c r="J48" i="1" s="1"/>
  <c r="K48" i="1"/>
  <c r="E48" i="1" s="1"/>
  <c r="L48" i="1" s="1"/>
  <c r="M48" i="1" s="1"/>
  <c r="I47" i="1"/>
  <c r="I46" i="1"/>
  <c r="I45" i="1"/>
  <c r="I44" i="1"/>
  <c r="I43" i="1"/>
  <c r="I42" i="1"/>
  <c r="I41" i="1"/>
  <c r="I40" i="1"/>
  <c r="K39" i="1"/>
  <c r="E39" i="1" s="1"/>
  <c r="L39" i="1" s="1"/>
  <c r="M39" i="1" s="1"/>
  <c r="I35" i="1"/>
  <c r="I36" i="1"/>
  <c r="I33" i="1"/>
  <c r="I32" i="1"/>
  <c r="I31" i="1"/>
  <c r="I29" i="1"/>
  <c r="I28" i="1"/>
  <c r="I27" i="1"/>
  <c r="I26" i="1"/>
  <c r="I25" i="1"/>
  <c r="I24" i="1"/>
  <c r="K21" i="1"/>
  <c r="E21" i="1" s="1"/>
  <c r="L21" i="1" s="1"/>
  <c r="M21" i="1" s="1"/>
  <c r="K20" i="1"/>
  <c r="E20" i="1" s="1"/>
  <c r="L20" i="1" s="1"/>
  <c r="M20" i="1" s="1"/>
  <c r="I22" i="1"/>
  <c r="I18" i="1"/>
  <c r="I17" i="1"/>
  <c r="I16" i="1"/>
  <c r="I14" i="1"/>
  <c r="I13" i="1"/>
  <c r="I12" i="1"/>
  <c r="J10" i="1"/>
  <c r="K93" i="1"/>
  <c r="L93" i="1" s="1"/>
  <c r="M93" i="1" s="1"/>
  <c r="K92" i="1"/>
  <c r="L92" i="1" s="1"/>
  <c r="M92" i="1" s="1"/>
  <c r="K91" i="1"/>
  <c r="L91" i="1" s="1"/>
  <c r="M91" i="1" s="1"/>
  <c r="K90" i="1"/>
  <c r="L90" i="1" s="1"/>
  <c r="M90" i="1" s="1"/>
  <c r="K89" i="1"/>
  <c r="L89" i="1" s="1"/>
  <c r="M89" i="1" s="1"/>
  <c r="K88" i="1"/>
  <c r="L88" i="1" s="1"/>
  <c r="M88" i="1" s="1"/>
  <c r="K80" i="1"/>
  <c r="E80" i="1" s="1"/>
  <c r="L80" i="1" s="1"/>
  <c r="M80" i="1" s="1"/>
  <c r="K79" i="1"/>
  <c r="E79" i="1" s="1"/>
  <c r="L79" i="1" s="1"/>
  <c r="M79" i="1" s="1"/>
  <c r="K87" i="1"/>
  <c r="L87" i="1" s="1"/>
  <c r="M87" i="1" s="1"/>
  <c r="K86" i="1"/>
  <c r="L86" i="1" s="1"/>
  <c r="M86" i="1" s="1"/>
  <c r="K85" i="1"/>
  <c r="L85" i="1" s="1"/>
  <c r="M85" i="1" s="1"/>
  <c r="K84" i="1"/>
  <c r="L84" i="1" s="1"/>
  <c r="M84" i="1" s="1"/>
  <c r="K83" i="1"/>
  <c r="L83" i="1" s="1"/>
  <c r="M83" i="1" s="1"/>
  <c r="K82" i="1"/>
  <c r="L82" i="1" s="1"/>
  <c r="M82" i="1" s="1"/>
  <c r="I78" i="1"/>
  <c r="J78" i="1" s="1"/>
  <c r="K77" i="1"/>
  <c r="E77" i="1" s="1"/>
  <c r="L77" i="1" s="1"/>
  <c r="M77" i="1" s="1"/>
  <c r="K76" i="1"/>
  <c r="E76" i="1" s="1"/>
  <c r="L76" i="1" s="1"/>
  <c r="M76" i="1" s="1"/>
  <c r="I149" i="1"/>
  <c r="I148" i="1"/>
  <c r="I147" i="1"/>
  <c r="I146" i="1"/>
  <c r="I138" i="1"/>
  <c r="I135" i="1"/>
  <c r="I125" i="1"/>
  <c r="I94" i="1"/>
  <c r="E62" i="1"/>
  <c r="L62" i="1" s="1"/>
  <c r="M62" i="1" s="1"/>
  <c r="E63" i="1"/>
  <c r="L63" i="1" s="1"/>
  <c r="M63" i="1" s="1"/>
  <c r="E64" i="1"/>
  <c r="L64" i="1" s="1"/>
  <c r="M64" i="1" s="1"/>
  <c r="E65" i="1"/>
  <c r="L65" i="1" s="1"/>
  <c r="M65" i="1" s="1"/>
  <c r="E66" i="1"/>
  <c r="L66" i="1" s="1"/>
  <c r="M66" i="1" s="1"/>
  <c r="E67" i="1"/>
  <c r="L67" i="1" s="1"/>
  <c r="M67" i="1" s="1"/>
  <c r="E68" i="1"/>
  <c r="L68" i="1" s="1"/>
  <c r="M68" i="1" s="1"/>
  <c r="E69" i="1"/>
  <c r="L69" i="1" s="1"/>
  <c r="M69" i="1" s="1"/>
  <c r="E70" i="1"/>
  <c r="L70" i="1" s="1"/>
  <c r="M70" i="1" s="1"/>
  <c r="E71" i="1"/>
  <c r="L71" i="1" s="1"/>
  <c r="M71" i="1" s="1"/>
  <c r="E72" i="1"/>
  <c r="L72" i="1" s="1"/>
  <c r="M72" i="1" s="1"/>
  <c r="E73" i="1"/>
  <c r="L73" i="1" s="1"/>
  <c r="M73" i="1" s="1"/>
  <c r="E61" i="1"/>
  <c r="L61" i="1" s="1"/>
  <c r="M61" i="1" s="1"/>
  <c r="L60" i="1"/>
  <c r="M60" i="1" s="1"/>
  <c r="L59" i="1"/>
  <c r="M59" i="1" s="1"/>
  <c r="E58" i="1"/>
  <c r="L58" i="1" s="1"/>
  <c r="M58" i="1" s="1"/>
  <c r="L57" i="1"/>
  <c r="M57" i="1" s="1"/>
  <c r="L55" i="1"/>
  <c r="M55" i="1" s="1"/>
  <c r="L56" i="1"/>
  <c r="M56" i="1" s="1"/>
  <c r="L74" i="1" l="1"/>
  <c r="K33" i="1"/>
  <c r="E33" i="1" s="1"/>
  <c r="L33" i="1" s="1"/>
  <c r="M33" i="1" s="1"/>
  <c r="J33" i="1"/>
  <c r="K14" i="1"/>
  <c r="E14" i="1" s="1"/>
  <c r="L14" i="1" s="1"/>
  <c r="M14" i="1" s="1"/>
  <c r="J14" i="1"/>
  <c r="K13" i="1"/>
  <c r="E13" i="1" s="1"/>
  <c r="L13" i="1" s="1"/>
  <c r="M13" i="1" s="1"/>
  <c r="J13" i="1"/>
  <c r="K18" i="1"/>
  <c r="E18" i="1" s="1"/>
  <c r="L18" i="1" s="1"/>
  <c r="M18" i="1" s="1"/>
  <c r="J18" i="1"/>
  <c r="K45" i="1"/>
  <c r="E45" i="1" s="1"/>
  <c r="L45" i="1" s="1"/>
  <c r="M45" i="1" s="1"/>
  <c r="J45" i="1"/>
  <c r="K147" i="1"/>
  <c r="E147" i="1" s="1"/>
  <c r="L147" i="1" s="1"/>
  <c r="M147" i="1" s="1"/>
  <c r="J147" i="1"/>
  <c r="K148" i="1"/>
  <c r="E148" i="1" s="1"/>
  <c r="L148" i="1" s="1"/>
  <c r="M148" i="1" s="1"/>
  <c r="J148" i="1"/>
  <c r="K47" i="1"/>
  <c r="E47" i="1" s="1"/>
  <c r="L47" i="1" s="1"/>
  <c r="M47" i="1" s="1"/>
  <c r="J47" i="1"/>
  <c r="K25" i="1"/>
  <c r="E25" i="1" s="1"/>
  <c r="L25" i="1" s="1"/>
  <c r="M25" i="1" s="1"/>
  <c r="J25" i="1"/>
  <c r="K32" i="1"/>
  <c r="E32" i="1" s="1"/>
  <c r="L32" i="1" s="1"/>
  <c r="M32" i="1" s="1"/>
  <c r="J32" i="1"/>
  <c r="K12" i="1"/>
  <c r="E12" i="1" s="1"/>
  <c r="L12" i="1" s="1"/>
  <c r="M12" i="1" s="1"/>
  <c r="J12" i="1"/>
  <c r="K41" i="1"/>
  <c r="E41" i="1" s="1"/>
  <c r="L41" i="1" s="1"/>
  <c r="M41" i="1" s="1"/>
  <c r="J41" i="1"/>
  <c r="K17" i="1"/>
  <c r="E17" i="1" s="1"/>
  <c r="L17" i="1" s="1"/>
  <c r="M17" i="1" s="1"/>
  <c r="J17" i="1"/>
  <c r="K46" i="1"/>
  <c r="E46" i="1" s="1"/>
  <c r="L46" i="1" s="1"/>
  <c r="M46" i="1" s="1"/>
  <c r="J46" i="1"/>
  <c r="K149" i="1"/>
  <c r="E149" i="1" s="1"/>
  <c r="L149" i="1" s="1"/>
  <c r="M149" i="1" s="1"/>
  <c r="J149" i="1"/>
  <c r="K24" i="1"/>
  <c r="E24" i="1" s="1"/>
  <c r="L24" i="1" s="1"/>
  <c r="M24" i="1" s="1"/>
  <c r="J24" i="1"/>
  <c r="K26" i="1"/>
  <c r="E26" i="1" s="1"/>
  <c r="L26" i="1" s="1"/>
  <c r="M26" i="1" s="1"/>
  <c r="J26" i="1"/>
  <c r="K49" i="1"/>
  <c r="E49" i="1" s="1"/>
  <c r="L49" i="1" s="1"/>
  <c r="M49" i="1" s="1"/>
  <c r="J49" i="1"/>
  <c r="K31" i="1"/>
  <c r="E31" i="1" s="1"/>
  <c r="L31" i="1" s="1"/>
  <c r="M31" i="1" s="1"/>
  <c r="J31" i="1"/>
  <c r="K35" i="1"/>
  <c r="J35" i="1"/>
  <c r="K40" i="1"/>
  <c r="E40" i="1" s="1"/>
  <c r="L40" i="1" s="1"/>
  <c r="M40" i="1" s="1"/>
  <c r="J40" i="1"/>
  <c r="K94" i="1"/>
  <c r="M94" i="1" s="1"/>
  <c r="J94" i="1"/>
  <c r="J95" i="1" s="1"/>
  <c r="K16" i="1"/>
  <c r="E16" i="1" s="1"/>
  <c r="L16" i="1" s="1"/>
  <c r="M16" i="1" s="1"/>
  <c r="J16" i="1"/>
  <c r="K27" i="1"/>
  <c r="E27" i="1" s="1"/>
  <c r="L27" i="1" s="1"/>
  <c r="M27" i="1" s="1"/>
  <c r="J27" i="1"/>
  <c r="K50" i="1"/>
  <c r="E50" i="1" s="1"/>
  <c r="L50" i="1" s="1"/>
  <c r="M50" i="1" s="1"/>
  <c r="J50" i="1"/>
  <c r="K42" i="1"/>
  <c r="E42" i="1" s="1"/>
  <c r="L42" i="1" s="1"/>
  <c r="M42" i="1" s="1"/>
  <c r="J42" i="1"/>
  <c r="K43" i="1"/>
  <c r="E43" i="1" s="1"/>
  <c r="L43" i="1" s="1"/>
  <c r="M43" i="1" s="1"/>
  <c r="J43" i="1"/>
  <c r="K138" i="1"/>
  <c r="E138" i="1" s="1"/>
  <c r="L138" i="1" s="1"/>
  <c r="J138" i="1"/>
  <c r="K22" i="1"/>
  <c r="E22" i="1" s="1"/>
  <c r="L22" i="1" s="1"/>
  <c r="M22" i="1" s="1"/>
  <c r="J22" i="1"/>
  <c r="K28" i="1"/>
  <c r="E28" i="1" s="1"/>
  <c r="L28" i="1" s="1"/>
  <c r="M28" i="1" s="1"/>
  <c r="J28" i="1"/>
  <c r="K51" i="1"/>
  <c r="E51" i="1" s="1"/>
  <c r="L51" i="1" s="1"/>
  <c r="M51" i="1" s="1"/>
  <c r="J51" i="1"/>
  <c r="K36" i="1"/>
  <c r="J36" i="1"/>
  <c r="K44" i="1"/>
  <c r="E44" i="1" s="1"/>
  <c r="L44" i="1" s="1"/>
  <c r="M44" i="1" s="1"/>
  <c r="J44" i="1"/>
  <c r="K146" i="1"/>
  <c r="E146" i="1" s="1"/>
  <c r="L146" i="1" s="1"/>
  <c r="M146" i="1" s="1"/>
  <c r="J146" i="1"/>
  <c r="K29" i="1"/>
  <c r="E29" i="1" s="1"/>
  <c r="L29" i="1" s="1"/>
  <c r="M29" i="1" s="1"/>
  <c r="J29" i="1"/>
  <c r="K52" i="1"/>
  <c r="E52" i="1" s="1"/>
  <c r="L52" i="1" s="1"/>
  <c r="M52" i="1" s="1"/>
  <c r="J52" i="1"/>
  <c r="I95" i="1"/>
  <c r="I152" i="1"/>
  <c r="I208" i="1"/>
  <c r="K221" i="1"/>
  <c r="K74" i="1"/>
  <c r="I193" i="1"/>
  <c r="K78" i="1"/>
  <c r="E78" i="1" s="1"/>
  <c r="L78" i="1" s="1"/>
  <c r="K193" i="1"/>
  <c r="I53" i="1"/>
  <c r="I74" i="1"/>
  <c r="K135" i="1"/>
  <c r="I37" i="1"/>
  <c r="K10" i="1"/>
  <c r="J152" i="1" l="1"/>
  <c r="I222" i="1"/>
  <c r="I223" i="1" s="1"/>
  <c r="I224" i="1" s="1"/>
  <c r="I225" i="1" s="1"/>
  <c r="I226" i="1" s="1"/>
  <c r="L152" i="1"/>
  <c r="M138" i="1"/>
  <c r="L95" i="1"/>
  <c r="M78" i="1"/>
  <c r="L53" i="1"/>
  <c r="J37" i="1"/>
  <c r="K95" i="1"/>
  <c r="K37" i="1"/>
  <c r="K152" i="1"/>
  <c r="K53" i="1"/>
  <c r="J53" i="1"/>
  <c r="E36" i="1"/>
  <c r="L36" i="1" s="1"/>
  <c r="M36" i="1" s="1"/>
  <c r="E35" i="1"/>
  <c r="L35" i="1" s="1"/>
  <c r="M35" i="1" s="1"/>
  <c r="H224" i="1" l="1"/>
  <c r="H225" i="1" s="1"/>
  <c r="J222" i="1"/>
  <c r="J223" i="1" s="1"/>
  <c r="J224" i="1" s="1"/>
  <c r="J225" i="1" s="1"/>
  <c r="J226" i="1" s="1"/>
  <c r="E10" i="1"/>
  <c r="L10" i="1" s="1"/>
  <c r="L195" i="1"/>
  <c r="M195" i="1" s="1"/>
  <c r="L37" i="1" l="1"/>
  <c r="M10" i="1"/>
  <c r="L196" i="1"/>
  <c r="M196" i="1" s="1"/>
  <c r="L197" i="1" l="1"/>
  <c r="M197" i="1" s="1"/>
  <c r="F87" i="1"/>
  <c r="F86" i="1"/>
  <c r="F85" i="1"/>
  <c r="F84" i="1"/>
  <c r="F83" i="1"/>
  <c r="F82" i="1"/>
  <c r="L198" i="1" l="1"/>
  <c r="L208" i="1" l="1"/>
  <c r="L222" i="1" s="1"/>
  <c r="L223" i="1" s="1"/>
  <c r="L224" i="1" s="1"/>
  <c r="L225" i="1" s="1"/>
  <c r="L226" i="1" s="1"/>
  <c r="M198" i="1"/>
  <c r="F60" i="1"/>
  <c r="F72" i="1" l="1"/>
  <c r="F71" i="1"/>
  <c r="F70" i="1"/>
  <c r="F69" i="1"/>
  <c r="F68" i="1"/>
  <c r="F67" i="1"/>
  <c r="F66" i="1"/>
  <c r="F65" i="1"/>
  <c r="F64" i="1"/>
  <c r="F93" i="1" l="1"/>
  <c r="F21" i="1" l="1"/>
  <c r="F20" i="1"/>
  <c r="F80" i="1" l="1"/>
  <c r="F137" i="1" l="1"/>
  <c r="C14" i="2" l="1"/>
  <c r="D14" i="2" s="1"/>
  <c r="E14" i="2" s="1"/>
  <c r="C23" i="2"/>
  <c r="D23" i="2" s="1"/>
  <c r="E23" i="2" s="1"/>
  <c r="F23" i="2" s="1"/>
  <c r="C22" i="2"/>
  <c r="D22" i="2" s="1"/>
  <c r="E22" i="2" s="1"/>
  <c r="F22" i="2" s="1"/>
  <c r="C21" i="2"/>
  <c r="D21" i="2" s="1"/>
  <c r="E21" i="2" s="1"/>
  <c r="F21" i="2" s="1"/>
  <c r="C20" i="2"/>
  <c r="D20" i="2" s="1"/>
  <c r="E20" i="2" s="1"/>
  <c r="F20" i="2" s="1"/>
  <c r="C19" i="2"/>
  <c r="D19" i="2" s="1"/>
  <c r="E19" i="2" s="1"/>
  <c r="F19" i="2" s="1"/>
  <c r="C18" i="2"/>
  <c r="D18" i="2" s="1"/>
  <c r="E18" i="2" s="1"/>
  <c r="F18" i="2" s="1"/>
  <c r="C17" i="2"/>
  <c r="D17" i="2" s="1"/>
  <c r="E17" i="2" s="1"/>
  <c r="F17" i="2" s="1"/>
  <c r="C16" i="2"/>
  <c r="D16" i="2" s="1"/>
  <c r="E16" i="2" s="1"/>
  <c r="F16" i="2" s="1"/>
  <c r="C15" i="2"/>
  <c r="D15" i="2" s="1"/>
  <c r="E15" i="2" s="1"/>
  <c r="F15" i="2" s="1"/>
  <c r="C13" i="2"/>
  <c r="D13" i="2" s="1"/>
  <c r="C12" i="2"/>
  <c r="D12" i="2" s="1"/>
  <c r="C11" i="2"/>
  <c r="D11" i="2" s="1"/>
  <c r="E11" i="2" s="1"/>
  <c r="F11" i="2" s="1"/>
  <c r="E13" i="2" l="1"/>
  <c r="F13" i="2" s="1"/>
  <c r="E12" i="2"/>
  <c r="F12" i="2" s="1"/>
  <c r="F14" i="2"/>
  <c r="F94" i="1"/>
  <c r="F92" i="1"/>
  <c r="F91" i="1"/>
  <c r="F90" i="1"/>
  <c r="F89" i="1"/>
  <c r="F88" i="1"/>
  <c r="F79" i="1"/>
  <c r="F78" i="1"/>
  <c r="F77" i="1"/>
  <c r="F76" i="1"/>
  <c r="F26" i="1"/>
  <c r="F29" i="1"/>
  <c r="F95" i="1" l="1"/>
  <c r="C79" i="3" s="1"/>
  <c r="F79" i="3" s="1"/>
  <c r="F43" i="1"/>
  <c r="F138" i="1" l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4" i="1"/>
  <c r="F155" i="1"/>
  <c r="F156" i="1"/>
  <c r="F157" i="1"/>
  <c r="F134" i="1"/>
  <c r="F133" i="1"/>
  <c r="F132" i="1"/>
  <c r="F131" i="1"/>
  <c r="F130" i="1"/>
  <c r="F129" i="1"/>
  <c r="F128" i="1"/>
  <c r="F127" i="1"/>
  <c r="F73" i="1"/>
  <c r="F63" i="1"/>
  <c r="F62" i="1"/>
  <c r="F61" i="1"/>
  <c r="F59" i="1"/>
  <c r="F58" i="1"/>
  <c r="F57" i="1"/>
  <c r="F56" i="1"/>
  <c r="F55" i="1"/>
  <c r="F135" i="1" l="1"/>
  <c r="C81" i="3" s="1"/>
  <c r="F81" i="3" s="1"/>
  <c r="F74" i="1"/>
  <c r="C78" i="3" s="1"/>
  <c r="F78" i="3" s="1"/>
  <c r="F152" i="1"/>
  <c r="C82" i="3" s="1"/>
  <c r="F82" i="3" s="1"/>
  <c r="F219" i="1"/>
  <c r="F207" i="1" l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220" i="1"/>
  <c r="F218" i="1"/>
  <c r="F217" i="1"/>
  <c r="F216" i="1"/>
  <c r="F215" i="1"/>
  <c r="F214" i="1"/>
  <c r="F213" i="1"/>
  <c r="F212" i="1"/>
  <c r="F211" i="1"/>
  <c r="F210" i="1"/>
  <c r="F208" i="1" l="1"/>
  <c r="C84" i="3" s="1"/>
  <c r="F221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125" i="1" l="1"/>
  <c r="C80" i="3" s="1"/>
  <c r="F17" i="1"/>
  <c r="F16" i="1"/>
  <c r="F28" i="1"/>
  <c r="F27" i="1"/>
  <c r="F25" i="1"/>
  <c r="F24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93" i="1" l="1"/>
  <c r="C83" i="3" s="1"/>
  <c r="F83" i="3" s="1"/>
  <c r="F18" i="1"/>
  <c r="F44" i="1" l="1"/>
  <c r="F45" i="1"/>
  <c r="F50" i="1" l="1"/>
  <c r="F52" i="1"/>
  <c r="F41" i="1"/>
  <c r="F22" i="1"/>
  <c r="F14" i="1"/>
  <c r="F13" i="1"/>
  <c r="F12" i="1"/>
  <c r="F33" i="1"/>
  <c r="F32" i="1"/>
  <c r="F31" i="1"/>
  <c r="F49" i="1" l="1"/>
  <c r="F48" i="1"/>
  <c r="F47" i="1"/>
  <c r="F46" i="1"/>
  <c r="F42" i="1"/>
  <c r="F40" i="1"/>
  <c r="F39" i="1"/>
  <c r="F51" i="1" l="1"/>
  <c r="F53" i="1" s="1"/>
  <c r="C77" i="3" s="1"/>
  <c r="F77" i="3" s="1"/>
  <c r="F86" i="3" s="1"/>
  <c r="F87" i="3" s="1"/>
  <c r="F88" i="3" s="1"/>
  <c r="F89" i="3" s="1"/>
  <c r="C90" i="3" s="1"/>
  <c r="F36" i="1"/>
  <c r="F35" i="1"/>
  <c r="F10" i="1" l="1"/>
  <c r="M222" i="1" s="1"/>
  <c r="F37" i="1" l="1"/>
  <c r="C76" i="3" s="1"/>
  <c r="F222" i="1" l="1"/>
  <c r="F223" i="1" s="1"/>
  <c r="F224" i="1" s="1"/>
  <c r="F225" i="1" s="1"/>
  <c r="F226" i="1" s="1"/>
  <c r="K208" i="1"/>
  <c r="K222" i="1" s="1"/>
  <c r="H223" i="1" l="1"/>
  <c r="H226" i="1"/>
  <c r="K223" i="1"/>
  <c r="K224" i="1" l="1"/>
  <c r="K225" i="1" s="1"/>
  <c r="K226" i="1" s="1"/>
  <c r="M223" i="1"/>
  <c r="M224" i="1" s="1"/>
  <c r="M225" i="1" l="1"/>
  <c r="M226" i="1" s="1"/>
</calcChain>
</file>

<file path=xl/sharedStrings.xml><?xml version="1.0" encoding="utf-8"?>
<sst xmlns="http://schemas.openxmlformats.org/spreadsheetml/2006/main" count="632" uniqueCount="428">
  <si>
    <t>Müşteri Adı:</t>
  </si>
  <si>
    <t>Malzeme</t>
  </si>
  <si>
    <t>Malzeme Ölçüsü</t>
  </si>
  <si>
    <t>Adet</t>
  </si>
  <si>
    <t>Birim Fiyatı</t>
  </si>
  <si>
    <t>TOPLAM</t>
  </si>
  <si>
    <t>60'LIK DUVAR OMEGASI</t>
  </si>
  <si>
    <t>60*2500</t>
  </si>
  <si>
    <t>60*3760</t>
  </si>
  <si>
    <t>60*5000</t>
  </si>
  <si>
    <t>20x2800</t>
  </si>
  <si>
    <t>L:2500</t>
  </si>
  <si>
    <t>KÖŞEBENT</t>
  </si>
  <si>
    <t>30*30*2500</t>
  </si>
  <si>
    <t>50*50*2500</t>
  </si>
  <si>
    <t>L:2800</t>
  </si>
  <si>
    <t>10x1500</t>
  </si>
  <si>
    <t>FİRMA:</t>
  </si>
  <si>
    <t>160*200</t>
  </si>
  <si>
    <t>160/120</t>
  </si>
  <si>
    <t>160/180</t>
  </si>
  <si>
    <t>160/160</t>
  </si>
  <si>
    <t>KIRMIZI BOYALI SAC MAHYA</t>
  </si>
  <si>
    <t>L:3000</t>
  </si>
  <si>
    <t>m²</t>
  </si>
  <si>
    <t xml:space="preserve">MEBRAN  </t>
  </si>
  <si>
    <t>TOP 10 m2</t>
  </si>
  <si>
    <t>20*3000</t>
  </si>
  <si>
    <t>METAL TAHTA</t>
  </si>
  <si>
    <t>ADET</t>
  </si>
  <si>
    <t>3 x 2.5</t>
  </si>
  <si>
    <t>2 x 1.5</t>
  </si>
  <si>
    <t>ANTEN KABLOSU</t>
  </si>
  <si>
    <t>METRE</t>
  </si>
  <si>
    <t>SIVA ALTI</t>
  </si>
  <si>
    <t>SİGORTA KUTUSU</t>
  </si>
  <si>
    <t>9'lu</t>
  </si>
  <si>
    <t>12'li</t>
  </si>
  <si>
    <t>24'lü</t>
  </si>
  <si>
    <t>PVC BUAT KAPAĞI</t>
  </si>
  <si>
    <t>MONEFAZE BARA</t>
  </si>
  <si>
    <t>ALÇIPAN VİDASI SİVRİ UÇLU ( 3.5 x 35 )</t>
  </si>
  <si>
    <t>kutu 1000 adet</t>
  </si>
  <si>
    <t>ALÇIPAN VİDASI MATKAP UÇLU ( 3.5 x 35 )</t>
  </si>
  <si>
    <t>kutu 1250 adet</t>
  </si>
  <si>
    <t>16 MM BETOPAN VE KAPI KOLLARI ( 3.9x32 )</t>
  </si>
  <si>
    <t>kutu 250 adet</t>
  </si>
  <si>
    <t>TRAPEZ SAC - METAL KİREMİT ( 5.5 x 60)</t>
  </si>
  <si>
    <t>SHINGLE ÇİVİSİ</t>
  </si>
  <si>
    <t>İÇ KAPI MENTEŞE</t>
  </si>
  <si>
    <t>KESME TAŞI 180'LİK</t>
  </si>
  <si>
    <t>YILDIZ UÇ KISA</t>
  </si>
  <si>
    <t>ALYAN UÇ</t>
  </si>
  <si>
    <t>KULAKLI DİRSEK   20mm</t>
  </si>
  <si>
    <t>DÜZ T   20mm</t>
  </si>
  <si>
    <t>İÇ DİŞLİ T   20mm</t>
  </si>
  <si>
    <t>100x1000 PVC BORU</t>
  </si>
  <si>
    <t>100x87 KAPALI DİRSEK</t>
  </si>
  <si>
    <t>100x50 TEK ÇATAL</t>
  </si>
  <si>
    <t>50x500 PVC BORU</t>
  </si>
  <si>
    <t>50x1000 PVC BORU</t>
  </si>
  <si>
    <t>50x50 TEK ÇATAL</t>
  </si>
  <si>
    <t xml:space="preserve">50x45 DİRSEK </t>
  </si>
  <si>
    <t>50x87 DİRSEK</t>
  </si>
  <si>
    <t>KÖR TAPA</t>
  </si>
  <si>
    <t>YER SÜZGECİ 80x80</t>
  </si>
  <si>
    <t>TAKOZ CONTA</t>
  </si>
  <si>
    <t>ASMA REZERVUAR</t>
  </si>
  <si>
    <t>DUŞ BATARYASI (MİX)</t>
  </si>
  <si>
    <t>DUŞ TELEFONU</t>
  </si>
  <si>
    <t>DUŞ TRONBLEMİ</t>
  </si>
  <si>
    <t>ALTTAN ÇIKIŞLI KLOZET + REZERVUAR</t>
  </si>
  <si>
    <t>KLOZET İÇ TAKIM</t>
  </si>
  <si>
    <t>KLOZET KAPAĞI</t>
  </si>
  <si>
    <t>KLOZET MONTAJ VİDASI</t>
  </si>
  <si>
    <t>ÇELİK SPİRAL HORTUM</t>
  </si>
  <si>
    <t>KARTAL BATARYA (MİX)</t>
  </si>
  <si>
    <t>LAVABO SİFONU</t>
  </si>
  <si>
    <t>LAVABO CİVATASI</t>
  </si>
  <si>
    <t>TEFLON BAND</t>
  </si>
  <si>
    <t>L:2000</t>
  </si>
  <si>
    <t>L:500</t>
  </si>
  <si>
    <t>20 kg</t>
  </si>
  <si>
    <t>10 kg</t>
  </si>
  <si>
    <t>17.5 kg</t>
  </si>
  <si>
    <t>10  kg</t>
  </si>
  <si>
    <t>GENEL TOPLAM</t>
  </si>
  <si>
    <t>İSKONTO</t>
  </si>
  <si>
    <t>ARA TOPLAM</t>
  </si>
  <si>
    <t>180*2800</t>
  </si>
  <si>
    <t>11 mm  OSB 2</t>
  </si>
  <si>
    <t>100x2000 PVC BORU</t>
  </si>
  <si>
    <t>KAÇAK AKIM ROLESİ MONOFAZE</t>
  </si>
  <si>
    <t>KAÇAK AKIM ROLESİ TRİFAZE</t>
  </si>
  <si>
    <t>TRİFAZE  BARA</t>
  </si>
  <si>
    <t>100x100   T</t>
  </si>
  <si>
    <t>2.5 kg</t>
  </si>
  <si>
    <t xml:space="preserve"> SIRT MAHYA</t>
  </si>
  <si>
    <t>90*200</t>
  </si>
  <si>
    <t>FAVORİ DIŞ CEPHE SİLİKONLU</t>
  </si>
  <si>
    <t>GRUP TOPLAMI</t>
  </si>
  <si>
    <t>LED AMPUL</t>
  </si>
  <si>
    <t xml:space="preserve">NYM KABLO </t>
  </si>
  <si>
    <t>NYM KABLO</t>
  </si>
  <si>
    <t>TEKLİ ANAHTAR</t>
  </si>
  <si>
    <t>ÇİFTLİ ANAHTAR</t>
  </si>
  <si>
    <t>W OTOMAT</t>
  </si>
  <si>
    <t xml:space="preserve">W OTOMAT </t>
  </si>
  <si>
    <t>İZOLE BANT</t>
  </si>
  <si>
    <t>12x1200x2500</t>
  </si>
  <si>
    <t>YEŞİL ALÇIPAN</t>
  </si>
  <si>
    <t>100*100*2500</t>
  </si>
  <si>
    <t>2*36 LED ARMATÜR</t>
  </si>
  <si>
    <t>L:4200</t>
  </si>
  <si>
    <t>11*122*244</t>
  </si>
  <si>
    <t>KDV</t>
  </si>
  <si>
    <t>120*2800</t>
  </si>
  <si>
    <t>16x150x2800</t>
  </si>
  <si>
    <t>PRİZ,ANAHTAR ÇERÇEVESİ</t>
  </si>
  <si>
    <t xml:space="preserve">L KASA DUBLE PVC KAPI +PERVAZ+MATİK+ KOL </t>
  </si>
  <si>
    <t>KG</t>
  </si>
  <si>
    <t>50x200</t>
  </si>
  <si>
    <t>ÖZEL BÜKÜM ALIN SACI</t>
  </si>
  <si>
    <t>100 LÜK  PİS SU KAPAMASI (GALVANİZ)</t>
  </si>
  <si>
    <t>AŞIK KAPAMA U'SU (GALVANİZ)</t>
  </si>
  <si>
    <t>80*2500</t>
  </si>
  <si>
    <t xml:space="preserve"> KNAUF ARA BÖLME 50 MM</t>
  </si>
  <si>
    <t>FİBERCEMENT LEVHA</t>
  </si>
  <si>
    <t>16x1250x2500</t>
  </si>
  <si>
    <t>FİBERCEMENT LEVHA (ARAKAT İÇİN)</t>
  </si>
  <si>
    <t>SAÇAK VE ALIN ALTI FİBERCEMENT KAPLAMA</t>
  </si>
  <si>
    <t>8x400x2500</t>
  </si>
  <si>
    <t>BORDEX</t>
  </si>
  <si>
    <t xml:space="preserve">NYM KABLO (Kofra)               </t>
  </si>
  <si>
    <t>12*385*2500</t>
  </si>
  <si>
    <t>AĞAÇDESEN FUGALI FİBERCEMENT</t>
  </si>
  <si>
    <t>16x120x2500</t>
  </si>
  <si>
    <t xml:space="preserve">                              SIHHİ TESİSAT GRUBU</t>
  </si>
  <si>
    <t xml:space="preserve">                      ÇATI OLUĞU VE BORU GRUBU</t>
  </si>
  <si>
    <t xml:space="preserve">                           BOYA VE MASTİK GRUBU</t>
  </si>
  <si>
    <t>FAVORİ DIŞ CEPHE SİLİKONLU (KÖŞE SÖVESİ İÇİN)</t>
  </si>
  <si>
    <t xml:space="preserve">                                     VİDA GRUBU</t>
  </si>
  <si>
    <t xml:space="preserve">                          DEPO VE HIRDAVAT GRUBU</t>
  </si>
  <si>
    <t xml:space="preserve">                          ELEKTRİK TESİSAT GRUBU</t>
  </si>
  <si>
    <t xml:space="preserve">                                 ÇATI SACI GRUBU</t>
  </si>
  <si>
    <t>BEYAZ  ALÇIPAN</t>
  </si>
  <si>
    <t>KÖŞE SÖVESİ FİBERCEMENT KAPLAMA</t>
  </si>
  <si>
    <t>PENCERE KENAR SÖVESİ FİBERCEMENT KAPLAMA</t>
  </si>
  <si>
    <t>TAŞDESEN FUGALI FİBERCEMENT</t>
  </si>
  <si>
    <t xml:space="preserve">                        ALÇIPAN VE KAPLAMA GRUBU</t>
  </si>
  <si>
    <t xml:space="preserve">                          KAPI VE PENCERE GRUBU</t>
  </si>
  <si>
    <t xml:space="preserve">        HAFİF ÇELİK PANEL VE METAL AKSAM GRUBU</t>
  </si>
  <si>
    <t>METAL AKSAM RAPİD BOYA ( BEYAZ )</t>
  </si>
  <si>
    <t>SELÜLOZİK TİNER</t>
  </si>
  <si>
    <t>1 kg</t>
  </si>
  <si>
    <t>70 mm PVC BORU</t>
  </si>
  <si>
    <t>70 mm AÇIK DİRSEK</t>
  </si>
  <si>
    <t>70 mm KAPALI DİRSEK</t>
  </si>
  <si>
    <t>70'LİK BORU KELEPÇESİ</t>
  </si>
  <si>
    <t>L KASA PVC PENCERE+PERVAZ+MATİK+ÇİFT AÇILIM</t>
  </si>
  <si>
    <t>Paket:14,4 m²</t>
  </si>
  <si>
    <t>60/60</t>
  </si>
  <si>
    <t>TOPRAKLI PRİZ</t>
  </si>
  <si>
    <t>16  AMPER</t>
  </si>
  <si>
    <t>25  AMPER</t>
  </si>
  <si>
    <t>40 AMPER</t>
  </si>
  <si>
    <t>63 AMPER</t>
  </si>
  <si>
    <t xml:space="preserve"> BUAT KLEMENSİ</t>
  </si>
  <si>
    <t>140/180</t>
  </si>
  <si>
    <t>SAÇAK VE DERE KANCASI ( 3.9 x 32 )</t>
  </si>
  <si>
    <t>PVC  PENCERELER ( 4.8 x 70 )</t>
  </si>
  <si>
    <t>kutu 500 adet</t>
  </si>
  <si>
    <t>kutu 200 adet</t>
  </si>
  <si>
    <t>İÇ KAPI KOL + KİLİT</t>
  </si>
  <si>
    <t xml:space="preserve"> NEM BARİYERİ</t>
  </si>
  <si>
    <t xml:space="preserve">KIRMIZI SHINGLE ( 1 PAKETİ 2,61 m² ) </t>
  </si>
  <si>
    <t>ARDUAZLI MEBRAN</t>
  </si>
  <si>
    <t>KUBBE ÜSTÜ KIRMIZI ARDUAZ</t>
  </si>
  <si>
    <t>PPR TEMİZ SU BORUSU 20mm</t>
  </si>
  <si>
    <t xml:space="preserve"> DİRSEK   20mm</t>
  </si>
  <si>
    <t>MANŞON   20mm</t>
  </si>
  <si>
    <t>KAVİS 20mm</t>
  </si>
  <si>
    <t>ALATURKA WC TAŞ'I + S'İ</t>
  </si>
  <si>
    <t>UZUN MUSLUK</t>
  </si>
  <si>
    <t>TAHARET MUSLUĞU</t>
  </si>
  <si>
    <t>MUSLUK AYNASI</t>
  </si>
  <si>
    <t>DUŞ TEKNESİ  80x80</t>
  </si>
  <si>
    <t>AYAKLI LAVABO (40X50)</t>
  </si>
  <si>
    <t>METAL OLUK KAPAĞI   Sağ 3 - Sol 3</t>
  </si>
  <si>
    <t>METAL OLUK KANCASI</t>
  </si>
  <si>
    <t>FAVORİ EXTRA TAVAN BOYASI</t>
  </si>
  <si>
    <t>KARE TAVAN  ARMATÜR</t>
  </si>
  <si>
    <t>YUVARLAK İÇ GLOP</t>
  </si>
  <si>
    <t xml:space="preserve">OVAL DIŞ  GLOP </t>
  </si>
  <si>
    <t>VAVIEN ANAHTAR</t>
  </si>
  <si>
    <t>TV UYDU PRİZİ</t>
  </si>
  <si>
    <t>1 kutu / 25 Adet</t>
  </si>
  <si>
    <t>SENSÖRLÜ ARMATÜR</t>
  </si>
  <si>
    <t>SAÇAK VE ALIN  FİBERCEMENT KAPLAMA</t>
  </si>
  <si>
    <t>FAVORİ  İÇ ÇEPHE PLASTİK</t>
  </si>
  <si>
    <t>POLÜRETAN KÖPÜK</t>
  </si>
  <si>
    <t>METAL OLUK İNİŞİ</t>
  </si>
  <si>
    <t>ÖZEL AÇILI KÖŞEBENT 1,2 mm</t>
  </si>
  <si>
    <t>Paket:9,6 m²</t>
  </si>
  <si>
    <t xml:space="preserve"> KNAUF ÇATI ŞİLTESİ 100 MM</t>
  </si>
  <si>
    <t>ÇATI AŞIK OMEGASI</t>
  </si>
  <si>
    <t>3 x 4</t>
  </si>
  <si>
    <t>SİLİKONİZE MASTİK BEYAZ</t>
  </si>
  <si>
    <t>SİLİKONİZE MASTİK RENKLİ</t>
  </si>
  <si>
    <t>AHŞAP DESEN LEVHA</t>
  </si>
  <si>
    <t>ÖZEL BÜKÜM  SAÇAK ALIN SACI (GALVANİZ)</t>
  </si>
  <si>
    <t>YALIBASKI SİDİNG FİBERCEMENT</t>
  </si>
  <si>
    <t>DIŞ DUVAR M²</t>
  </si>
  <si>
    <t>TOPLAM M²</t>
  </si>
  <si>
    <t>FİRELİ ADET SAYISI %3</t>
  </si>
  <si>
    <t>YÜKLENECEK ADET</t>
  </si>
  <si>
    <t>BAŞ MAKAS M²</t>
  </si>
  <si>
    <t xml:space="preserve">FİBERCEMENT YALI BASKI </t>
  </si>
  <si>
    <t>DİREK SAYI*DİREK M²</t>
  </si>
  <si>
    <t>DUVAR USTU ŞASE M²</t>
  </si>
  <si>
    <t>İÇ DUVAR M²</t>
  </si>
  <si>
    <t>ALÇIPAN</t>
  </si>
  <si>
    <t>TAVAN M²</t>
  </si>
  <si>
    <t xml:space="preserve">FİBERCEMENT 8mm </t>
  </si>
  <si>
    <t>ŞASE M²</t>
  </si>
  <si>
    <t>Knauf Çatı Şiltesi</t>
  </si>
  <si>
    <t xml:space="preserve">ÇATI M² / OSB İÇİN </t>
  </si>
  <si>
    <t xml:space="preserve">OSB Dış Duvar + Çatı </t>
  </si>
  <si>
    <t>BACA M²</t>
  </si>
  <si>
    <t xml:space="preserve">OSB ÇATI SADECE </t>
  </si>
  <si>
    <t>YEŞİL ALÇIPAN M²</t>
  </si>
  <si>
    <t>MERDİVEN</t>
  </si>
  <si>
    <t>FİBERCEMENT LAMBA ZIVANA</t>
  </si>
  <si>
    <t>MERDİVEN ALTI</t>
  </si>
  <si>
    <t>BETOPAN  16mm</t>
  </si>
  <si>
    <t>SAÇAK KAPAMA MT</t>
  </si>
  <si>
    <t xml:space="preserve">SAÇAK ALIN UZUNLUK </t>
  </si>
  <si>
    <t xml:space="preserve">SAÇAK ALIN  UZUNLUK </t>
  </si>
  <si>
    <t>BORDEX  ( Plaka )</t>
  </si>
  <si>
    <t xml:space="preserve">BACA </t>
  </si>
  <si>
    <t>BİNA M²</t>
  </si>
  <si>
    <t>KNAUF PLUS(5CM)DIŞ</t>
  </si>
  <si>
    <t>KNAUF PLUS (5CM) İÇ</t>
  </si>
  <si>
    <t>DÜZENLENME
TARİHİ</t>
  </si>
  <si>
    <t>Alan (m²)</t>
  </si>
  <si>
    <t>Teklif Sayımı Yapan:</t>
  </si>
  <si>
    <t>Tarih</t>
  </si>
  <si>
    <t xml:space="preserve">Proje Kontrolü Yapan: </t>
  </si>
  <si>
    <t xml:space="preserve">Üretim Listesi Yapan: </t>
  </si>
  <si>
    <t>Proje Aşaması</t>
  </si>
  <si>
    <t>CRM NO</t>
  </si>
  <si>
    <t>H:Yükseklik</t>
  </si>
  <si>
    <t>8x1250x3000</t>
  </si>
  <si>
    <t>16x200x2500</t>
  </si>
  <si>
    <t xml:space="preserve">DIŞ:140'LIK           İÇ :  80'LİK </t>
  </si>
  <si>
    <t>Fiyatlarımıza %20 KDV Dahil Değildir</t>
  </si>
  <si>
    <t>HAFİF ÇELİK PANEL KARKAS HALİNDE</t>
  </si>
  <si>
    <t>ÇELİK DÜBEL M10 12 mm</t>
  </si>
  <si>
    <t>250*2500</t>
  </si>
  <si>
    <t>AHŞAP KASALI AMERİKAN KAPI Sol - Sağ</t>
  </si>
  <si>
    <t>ÇATI AŞIKLARI ( 5.5 x 25 )</t>
  </si>
  <si>
    <t>BİRLEŞİM APARATI</t>
  </si>
  <si>
    <t>70x550</t>
  </si>
  <si>
    <t>ZMT PREFABRİK                                                                                                                                                    Hafif Çelik Bina Yükleme Listesi</t>
  </si>
  <si>
    <t>POLÜRETAN MASTİK  2  Antrasit gri - 2  Beyaz</t>
  </si>
  <si>
    <t>L KASA PVC VASİSTAS+PERVAZ+MATİK+SİNEKLİK</t>
  </si>
  <si>
    <t>L KASA PVC KAPI+PERVAZ+MATİK+KOL   Sağ - Sol</t>
  </si>
  <si>
    <t>MELAMİN AHŞAP KASALI KAPI   Sol - Sağ</t>
  </si>
  <si>
    <t>L KASA PVC PENCERE+PERVAZ+MATİK+SABİT CAM</t>
  </si>
  <si>
    <t>PVC PENCERE KOLU</t>
  </si>
  <si>
    <t>180/200</t>
  </si>
  <si>
    <t>METAL ÇATI OLUĞU  150 mm</t>
  </si>
  <si>
    <t>ANKALAJ AYAĞI</t>
  </si>
  <si>
    <t>8x1250x2500</t>
  </si>
  <si>
    <t>L:1100</t>
  </si>
  <si>
    <t>90*201</t>
  </si>
  <si>
    <t xml:space="preserve">ANTRASİT GRİ BOYALI ÇATI SACI - 1100 KAPATIR </t>
  </si>
  <si>
    <t>ANTRASİT GRİ BOYALI SAC MAHYA</t>
  </si>
  <si>
    <t>8*200*2500</t>
  </si>
  <si>
    <t>90*205</t>
  </si>
  <si>
    <t>105/180</t>
  </si>
  <si>
    <t>59/180</t>
  </si>
  <si>
    <t>80/120</t>
  </si>
  <si>
    <t>140/100</t>
  </si>
  <si>
    <t>140/140</t>
  </si>
  <si>
    <t>140/160</t>
  </si>
  <si>
    <t xml:space="preserve">DOLAR KURU </t>
  </si>
  <si>
    <t>TON FİYATI</t>
  </si>
  <si>
    <t>S SERİ TON FİYATI</t>
  </si>
  <si>
    <t>GENİŞ KASA ÇELİK KAPI  - Sol</t>
  </si>
  <si>
    <t>1522</t>
  </si>
  <si>
    <t>1872</t>
  </si>
  <si>
    <t>2222</t>
  </si>
  <si>
    <t>2572</t>
  </si>
  <si>
    <t>2922</t>
  </si>
  <si>
    <t>3227</t>
  </si>
  <si>
    <t>3622</t>
  </si>
  <si>
    <t>3970</t>
  </si>
  <si>
    <t>4322</t>
  </si>
  <si>
    <t>4672</t>
  </si>
  <si>
    <t>5022</t>
  </si>
  <si>
    <t>5372</t>
  </si>
  <si>
    <t>Z1</t>
  </si>
  <si>
    <t>METAL KİREMİT MAHYASI</t>
  </si>
  <si>
    <t>ÖZEL MAHYA (DAR OLAN)</t>
  </si>
  <si>
    <t>ÖZEL MAHYA (GENİŞ OLAN)</t>
  </si>
  <si>
    <t xml:space="preserve"> PARAPET KAPLAMA SHOWROOM</t>
  </si>
  <si>
    <t>GALVANİZ 
FİYATI</t>
  </si>
  <si>
    <t>BOYALI SAÇ  
FİYATI</t>
  </si>
  <si>
    <t>L KASA PVC PENCERE+PERVAZ+MATİK+SÜRGÜLÜ</t>
  </si>
  <si>
    <t>KIRMIZI METAL KİREMİT</t>
  </si>
  <si>
    <t xml:space="preserve">KDVSİZ 
FİYATLAR </t>
  </si>
  <si>
    <t xml:space="preserve">KDV DAHİL 
FİYATLAR </t>
  </si>
  <si>
    <t>İSKONTOLU FİYAT</t>
  </si>
  <si>
    <t xml:space="preserve">BRÜT KAR </t>
  </si>
  <si>
    <t xml:space="preserve">KDV HARİÇ </t>
  </si>
  <si>
    <t xml:space="preserve">KDV DAHİL </t>
  </si>
  <si>
    <t>KAR %</t>
  </si>
  <si>
    <t xml:space="preserve">ÇELİK </t>
  </si>
  <si>
    <t>HAFİF ÇELİK FİYAT HESAPLAMA ROBOTU</t>
  </si>
  <si>
    <t>Aşık &amp; Omega Sistemi / Tavan Paneli Çatı Paneli</t>
  </si>
  <si>
    <t>Kat Adeti</t>
  </si>
  <si>
    <t>Bina Alanı</t>
  </si>
  <si>
    <t>Kat Yüksekliği</t>
  </si>
  <si>
    <t>Çatı Tipi</t>
  </si>
  <si>
    <t>Çatı Eğimi</t>
  </si>
  <si>
    <t xml:space="preserve">Çatı Kaplaması </t>
  </si>
  <si>
    <t>Tavan Kaplaması</t>
  </si>
  <si>
    <t xml:space="preserve">Duvar Islak Hacim </t>
  </si>
  <si>
    <t>Tavan Islak Hacim</t>
  </si>
  <si>
    <t>Çelik Kapı (90*205)</t>
  </si>
  <si>
    <t>PVC Kapı (90*200)</t>
  </si>
  <si>
    <t>Duble PVC Kapı (160*200)</t>
  </si>
  <si>
    <t>Melamin Kapı (90*201)</t>
  </si>
  <si>
    <t>Ahşap Kasalı Amerikan Kapı (90*201)</t>
  </si>
  <si>
    <t>PVC Pencere (105*180)</t>
  </si>
  <si>
    <t>PVC Pencere (59*180)</t>
  </si>
  <si>
    <t>PVC Pencere (80*120)</t>
  </si>
  <si>
    <t>PVC Pencere (140*100)</t>
  </si>
  <si>
    <t>PVC Pencere (140*140)</t>
  </si>
  <si>
    <t>PVC Pencere (140*160)</t>
  </si>
  <si>
    <t>PVC Pencere (140*180)</t>
  </si>
  <si>
    <t>PVC Pencere (160*120)</t>
  </si>
  <si>
    <t>PVC Pencere (160*160)</t>
  </si>
  <si>
    <t>PVC Pencere (160*180)</t>
  </si>
  <si>
    <t>PVC Pencere (Sürgülü) (180*200)</t>
  </si>
  <si>
    <t>PVC Vasistas (60*60)</t>
  </si>
  <si>
    <t>KAPI TÜRÜ</t>
  </si>
  <si>
    <t>PENCERE TÜRÜ</t>
  </si>
  <si>
    <t>RENK</t>
  </si>
  <si>
    <t>KAPLAMA</t>
  </si>
  <si>
    <t xml:space="preserve">VİTRİFİYE </t>
  </si>
  <si>
    <t>Klozet</t>
  </si>
  <si>
    <t xml:space="preserve">Lavabo </t>
  </si>
  <si>
    <t>Duş Teknesi</t>
  </si>
  <si>
    <t>Tahmini kg/m²</t>
  </si>
  <si>
    <t>ZEMİN KAT</t>
  </si>
  <si>
    <t>1.KAT</t>
  </si>
  <si>
    <t>Zemin Kat En</t>
  </si>
  <si>
    <t>Zemin Kat Boy</t>
  </si>
  <si>
    <t>ÖZEL BÜKÜM AKSESUAR</t>
  </si>
  <si>
    <t>Sırt Mahya</t>
  </si>
  <si>
    <t>Parapet Kaplama Showroom</t>
  </si>
  <si>
    <t>Metal Kiremit Mahyası</t>
  </si>
  <si>
    <t>Özel Mahya (Dar)</t>
  </si>
  <si>
    <t>Özel Mahya (Geniş)</t>
  </si>
  <si>
    <t>Metal Tahta</t>
  </si>
  <si>
    <t>Ara Kat Alanı</t>
  </si>
  <si>
    <t>mt</t>
  </si>
  <si>
    <t>Dış Duvar Kaplaması</t>
  </si>
  <si>
    <t>İç Duvar Kaplaması</t>
  </si>
  <si>
    <t>1000</t>
  </si>
  <si>
    <t>AŞIK ADETİ L:3000</t>
  </si>
  <si>
    <t>OMEGA ADETİ   L : 2500</t>
  </si>
  <si>
    <t>VAR</t>
  </si>
  <si>
    <t>YOK</t>
  </si>
  <si>
    <t>Saçak Altı Kaplama</t>
  </si>
  <si>
    <t>ANTRASİT</t>
  </si>
  <si>
    <t>ALTINMEŞE</t>
  </si>
  <si>
    <t>BEYAZ</t>
  </si>
  <si>
    <t>TRAPEZ ÇATI</t>
  </si>
  <si>
    <t xml:space="preserve">METAL KİREMİT ÇATI </t>
  </si>
  <si>
    <t>Çatı Kaplaması</t>
  </si>
  <si>
    <t>SANDVİÇ PANEL</t>
  </si>
  <si>
    <t>Toplam Çatı Oturum Alanı</t>
  </si>
  <si>
    <t>MİKTAR</t>
  </si>
  <si>
    <t>BİRİM</t>
  </si>
  <si>
    <t>L:2500 / Ad.</t>
  </si>
  <si>
    <t>11 mm OSB 2</t>
  </si>
  <si>
    <t>DUVAR UZUNLUĞU</t>
  </si>
  <si>
    <t>KAPLAMA-1</t>
  </si>
  <si>
    <t>KAPLAMA-2</t>
  </si>
  <si>
    <t>KAPLAMA-3</t>
  </si>
  <si>
    <t xml:space="preserve">AŞIK OMEGA </t>
  </si>
  <si>
    <t>PANEL SİSTEM</t>
  </si>
  <si>
    <t>Bina Köşe Sayısı</t>
  </si>
  <si>
    <t>1</t>
  </si>
  <si>
    <t>NEM BARİYERİ</t>
  </si>
  <si>
    <t>MEBRAN</t>
  </si>
  <si>
    <t>DIŞ DUVAR KALINLIĞI</t>
  </si>
  <si>
    <t>İÇ DUVAR KALINLIĞI</t>
  </si>
  <si>
    <t>Alaturka WC Taşı</t>
  </si>
  <si>
    <t>5000</t>
  </si>
  <si>
    <t>15</t>
  </si>
  <si>
    <t>KIRMA</t>
  </si>
  <si>
    <t>BEŞİK</t>
  </si>
  <si>
    <t>PARAPET</t>
  </si>
  <si>
    <t>TEK EĞİM</t>
  </si>
  <si>
    <t>Saçak Uzunluğu (mt)</t>
  </si>
  <si>
    <t>Bina Alın Uzunluğu (mt)</t>
  </si>
  <si>
    <t>Saçak Genişliği (mt)</t>
  </si>
  <si>
    <t>ÖZET</t>
  </si>
  <si>
    <t xml:space="preserve">GRUP </t>
  </si>
  <si>
    <t>HAFİF ÇELİK PANEL VE METAL AKSAM GRUBU</t>
  </si>
  <si>
    <t>ALÇIPAN VE KAPLAMA GRUBU</t>
  </si>
  <si>
    <t>ÇATI SACI GRUBU</t>
  </si>
  <si>
    <t>KAPI VE PENCERE GRUBU</t>
  </si>
  <si>
    <t>ELEKTRİK TESİSAT GRUBU</t>
  </si>
  <si>
    <t>VİDA GRUBU</t>
  </si>
  <si>
    <t>DEPO VE HIRDAVAT GRUBU</t>
  </si>
  <si>
    <t>SIHHİ TESİSAT GRUBU</t>
  </si>
  <si>
    <t>ÇATI OLUĞU VE BORU GRUBU</t>
  </si>
  <si>
    <t>BOYA VE MASTİK GRUBU</t>
  </si>
  <si>
    <t>TUTAR</t>
  </si>
  <si>
    <t xml:space="preserve">MÜŞTERİYE AİT </t>
  </si>
  <si>
    <t>NİHAİ TOPLAM</t>
  </si>
  <si>
    <t>ZMT'YE AİT</t>
  </si>
  <si>
    <t>MÜŞTERİYE AİT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</si>
</sst>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#,##0.00\ [$₺-41F]"/>
    <numFmt numFmtId="165" formatCode="[$₺-41F]#,##0.00"/>
    <numFmt numFmtId="166" formatCode="#,##0.00\ &quot;₺&quot;"/>
    <numFmt numFmtId="167" formatCode="\L\:@"/>
    <numFmt numFmtId="168" formatCode="_-[$$-409]* #,##0.00_ ;_-[$$-409]* \-#,##0.00\ ;_-[$$-409]* &quot;-&quot;??_ ;_-@_ 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name val="Arial"/>
      <family val="2"/>
      <charset val="162"/>
    </font>
    <font>
      <b/>
      <sz val="12"/>
      <name val="Arial"/>
      <family val="2"/>
      <charset val="162"/>
    </font>
    <font>
      <b/>
      <sz val="14"/>
      <name val="Arial"/>
      <family val="2"/>
      <charset val="162"/>
    </font>
    <font>
      <b/>
      <sz val="15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5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u/>
      <sz val="11"/>
      <color theme="1"/>
      <name val="Times New Roman"/>
      <family val="1"/>
      <charset val="162"/>
    </font>
    <font>
      <b/>
      <u/>
      <sz val="14"/>
      <color theme="1"/>
      <name val="Times New Roman"/>
      <family val="1"/>
      <charset val="162"/>
    </font>
    <font>
      <b/>
      <sz val="11"/>
      <name val="Times New Roman"/>
      <family val="1"/>
      <charset val="162"/>
    </font>
    <font>
      <b/>
      <u/>
      <sz val="14"/>
      <name val="Times New Roman"/>
      <family val="1"/>
      <charset val="162"/>
    </font>
    <font>
      <b/>
      <sz val="9"/>
      <name val="Arial"/>
      <family val="2"/>
      <charset val="16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charset val="162"/>
      <scheme val="minor"/>
    </font>
    <font>
      <b/>
      <sz val="15"/>
      <color rgb="FFFF0000"/>
      <name val="Arial"/>
      <family val="2"/>
      <charset val="162"/>
    </font>
    <font>
      <b/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28"/>
      <color rgb="FFC00000"/>
      <name val="Calibri"/>
      <family val="2"/>
      <charset val="162"/>
      <scheme val="minor"/>
    </font>
    <font>
      <b/>
      <i/>
      <sz val="20"/>
      <color theme="1"/>
      <name val="Calibri"/>
      <family val="2"/>
      <charset val="162"/>
      <scheme val="minor"/>
    </font>
    <font>
      <b/>
      <sz val="22"/>
      <color rgb="FFC00000"/>
      <name val="Calibri"/>
      <family val="2"/>
      <charset val="162"/>
      <scheme val="minor"/>
    </font>
    <font>
      <i/>
      <sz val="16"/>
      <color theme="1"/>
      <name val="Calibri"/>
      <family val="2"/>
      <charset val="162"/>
      <scheme val="minor"/>
    </font>
    <font>
      <b/>
      <sz val="18"/>
      <color rgb="FFC0000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32"/>
      <color rgb="FFC0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rgb="FFC00000"/>
      <name val="Calibri"/>
      <family val="2"/>
      <charset val="162"/>
      <scheme val="minor"/>
    </font>
    <font>
      <i/>
      <sz val="14"/>
      <color theme="1"/>
      <name val="Calibri"/>
      <family val="2"/>
      <charset val="162"/>
      <scheme val="minor"/>
    </font>
    <font>
      <b/>
      <sz val="48"/>
      <color rgb="FFC00000"/>
      <name val="Calibri"/>
      <family val="2"/>
      <charset val="162"/>
      <scheme val="minor"/>
    </font>
    <font>
      <b/>
      <i/>
      <sz val="18"/>
      <color rgb="FFC00000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b/>
      <i/>
      <sz val="18"/>
      <color theme="1"/>
      <name val="Calibri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ouble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ashed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ouble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0" fontId="15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28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64" fontId="7" fillId="3" borderId="6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15" fillId="0" borderId="0" xfId="1"/>
    <xf numFmtId="0" fontId="16" fillId="0" borderId="1" xfId="1" applyFont="1" applyBorder="1"/>
    <xf numFmtId="0" fontId="17" fillId="0" borderId="1" xfId="1" applyFont="1" applyBorder="1"/>
    <xf numFmtId="0" fontId="17" fillId="0" borderId="5" xfId="1" applyFont="1" applyBorder="1"/>
    <xf numFmtId="0" fontId="16" fillId="0" borderId="1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7" fillId="0" borderId="0" xfId="1" applyFont="1"/>
    <xf numFmtId="0" fontId="16" fillId="4" borderId="5" xfId="1" applyFont="1" applyFill="1" applyBorder="1"/>
    <xf numFmtId="0" fontId="19" fillId="0" borderId="6" xfId="1" applyFont="1" applyBorder="1" applyAlignment="1">
      <alignment horizontal="center" vertical="center"/>
    </xf>
    <xf numFmtId="0" fontId="16" fillId="4" borderId="24" xfId="1" applyFont="1" applyFill="1" applyBorder="1"/>
    <xf numFmtId="0" fontId="16" fillId="0" borderId="9" xfId="1" applyFont="1" applyBorder="1"/>
    <xf numFmtId="0" fontId="16" fillId="4" borderId="25" xfId="1" applyFont="1" applyFill="1" applyBorder="1"/>
    <xf numFmtId="0" fontId="16" fillId="0" borderId="15" xfId="1" applyFont="1" applyBorder="1"/>
    <xf numFmtId="0" fontId="19" fillId="0" borderId="20" xfId="1" applyFont="1" applyBorder="1" applyAlignment="1">
      <alignment horizontal="center" vertical="center"/>
    </xf>
    <xf numFmtId="0" fontId="20" fillId="4" borderId="25" xfId="1" applyFont="1" applyFill="1" applyBorder="1"/>
    <xf numFmtId="0" fontId="20" fillId="0" borderId="15" xfId="1" applyFont="1" applyBorder="1"/>
    <xf numFmtId="0" fontId="21" fillId="0" borderId="20" xfId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5" borderId="18" xfId="0" quotePrefix="1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165" fontId="7" fillId="5" borderId="6" xfId="0" applyNumberFormat="1" applyFont="1" applyFill="1" applyBorder="1" applyAlignment="1">
      <alignment horizontal="center" vertical="center" wrapText="1"/>
    </xf>
    <xf numFmtId="164" fontId="7" fillId="5" borderId="20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166" fontId="12" fillId="4" borderId="3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166" fontId="6" fillId="4" borderId="3" xfId="0" applyNumberFormat="1" applyFont="1" applyFill="1" applyBorder="1" applyAlignment="1">
      <alignment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167" fontId="4" fillId="7" borderId="1" xfId="0" applyNumberFormat="1" applyFont="1" applyFill="1" applyBorder="1" applyAlignment="1">
      <alignment horizontal="center" vertical="center" wrapText="1"/>
    </xf>
    <xf numFmtId="164" fontId="7" fillId="6" borderId="6" xfId="0" applyNumberFormat="1" applyFont="1" applyFill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9" fontId="25" fillId="0" borderId="6" xfId="2" applyFont="1" applyBorder="1" applyAlignment="1">
      <alignment horizontal="center" vertical="center" wrapText="1"/>
    </xf>
    <xf numFmtId="164" fontId="25" fillId="2" borderId="6" xfId="0" applyNumberFormat="1" applyFont="1" applyFill="1" applyBorder="1" applyAlignment="1">
      <alignment horizontal="center" vertical="center" wrapText="1"/>
    </xf>
    <xf numFmtId="164" fontId="25" fillId="5" borderId="6" xfId="0" applyNumberFormat="1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vertical="center" wrapText="1"/>
    </xf>
    <xf numFmtId="165" fontId="7" fillId="6" borderId="0" xfId="0" applyNumberFormat="1" applyFont="1" applyFill="1" applyAlignment="1">
      <alignment horizontal="left" vertical="center" wrapText="1"/>
    </xf>
    <xf numFmtId="164" fontId="7" fillId="6" borderId="0" xfId="0" applyNumberFormat="1" applyFont="1" applyFill="1" applyAlignment="1">
      <alignment horizontal="left" vertical="center" wrapText="1"/>
    </xf>
    <xf numFmtId="10" fontId="27" fillId="0" borderId="1" xfId="2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 wrapText="1"/>
    </xf>
    <xf numFmtId="0" fontId="5" fillId="5" borderId="26" xfId="0" applyFont="1" applyFill="1" applyBorder="1" applyAlignment="1">
      <alignment vertical="center" wrapText="1"/>
    </xf>
    <xf numFmtId="0" fontId="5" fillId="5" borderId="27" xfId="0" applyFont="1" applyFill="1" applyBorder="1" applyAlignment="1">
      <alignment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168" fontId="14" fillId="4" borderId="25" xfId="0" applyNumberFormat="1" applyFont="1" applyFill="1" applyBorder="1" applyAlignment="1">
      <alignment horizontal="center" vertical="center" wrapText="1"/>
    </xf>
    <xf numFmtId="168" fontId="14" fillId="4" borderId="15" xfId="0" applyNumberFormat="1" applyFont="1" applyFill="1" applyBorder="1" applyAlignment="1">
      <alignment horizontal="center" vertical="center" wrapText="1"/>
    </xf>
    <xf numFmtId="168" fontId="14" fillId="4" borderId="20" xfId="0" applyNumberFormat="1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0" fillId="9" borderId="0" xfId="0" applyFill="1"/>
    <xf numFmtId="0" fontId="0" fillId="6" borderId="0" xfId="0" applyFill="1"/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28" fillId="0" borderId="0" xfId="0" applyFont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1" fontId="7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" fontId="7" fillId="12" borderId="4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0" borderId="0" xfId="0" applyFont="1"/>
    <xf numFmtId="0" fontId="32" fillId="3" borderId="32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/>
    </xf>
    <xf numFmtId="0" fontId="32" fillId="3" borderId="35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9" fontId="32" fillId="7" borderId="29" xfId="2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35" fillId="0" borderId="0" xfId="1" applyFont="1" applyAlignment="1" applyProtection="1">
      <alignment vertical="center"/>
      <protection hidden="1"/>
    </xf>
    <xf numFmtId="0" fontId="33" fillId="10" borderId="32" xfId="0" applyFont="1" applyFill="1" applyBorder="1" applyAlignment="1">
      <alignment horizontal="center" vertical="center"/>
    </xf>
    <xf numFmtId="0" fontId="33" fillId="10" borderId="33" xfId="0" applyFont="1" applyFill="1" applyBorder="1" applyAlignment="1">
      <alignment horizontal="center" vertical="center"/>
    </xf>
    <xf numFmtId="0" fontId="33" fillId="10" borderId="34" xfId="0" applyFont="1" applyFill="1" applyBorder="1" applyAlignment="1">
      <alignment horizontal="center" vertical="center"/>
    </xf>
    <xf numFmtId="0" fontId="34" fillId="7" borderId="29" xfId="0" applyFont="1" applyFill="1" applyBorder="1" applyAlignment="1">
      <alignment horizontal="center" vertical="center"/>
    </xf>
    <xf numFmtId="0" fontId="34" fillId="3" borderId="36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34" fillId="10" borderId="35" xfId="0" applyFont="1" applyFill="1" applyBorder="1"/>
    <xf numFmtId="0" fontId="33" fillId="10" borderId="42" xfId="0" applyFont="1" applyFill="1" applyBorder="1" applyAlignment="1">
      <alignment horizontal="center" vertical="center"/>
    </xf>
    <xf numFmtId="0" fontId="33" fillId="10" borderId="29" xfId="0" applyFont="1" applyFill="1" applyBorder="1" applyAlignment="1">
      <alignment horizontal="center" vertical="center"/>
    </xf>
    <xf numFmtId="0" fontId="33" fillId="10" borderId="36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/>
    </xf>
    <xf numFmtId="0" fontId="34" fillId="11" borderId="29" xfId="0" applyFont="1" applyFill="1" applyBorder="1" applyAlignment="1">
      <alignment horizontal="center" vertical="center"/>
    </xf>
    <xf numFmtId="0" fontId="34" fillId="11" borderId="38" xfId="0" applyFont="1" applyFill="1" applyBorder="1" applyAlignment="1">
      <alignment horizontal="center" vertical="center"/>
    </xf>
    <xf numFmtId="0" fontId="34" fillId="3" borderId="38" xfId="0" applyFont="1" applyFill="1" applyBorder="1" applyAlignment="1">
      <alignment horizontal="center" vertical="center"/>
    </xf>
    <xf numFmtId="0" fontId="37" fillId="10" borderId="32" xfId="0" applyFont="1" applyFill="1" applyBorder="1" applyAlignment="1">
      <alignment horizontal="center" vertical="center"/>
    </xf>
    <xf numFmtId="0" fontId="38" fillId="3" borderId="35" xfId="0" applyFont="1" applyFill="1" applyBorder="1" applyAlignment="1">
      <alignment horizontal="center" vertical="center"/>
    </xf>
    <xf numFmtId="0" fontId="36" fillId="7" borderId="29" xfId="0" applyFont="1" applyFill="1" applyBorder="1" applyAlignment="1">
      <alignment horizontal="center" vertical="center"/>
    </xf>
    <xf numFmtId="0" fontId="38" fillId="3" borderId="37" xfId="0" applyFont="1" applyFill="1" applyBorder="1" applyAlignment="1">
      <alignment horizontal="center" vertical="center"/>
    </xf>
    <xf numFmtId="0" fontId="36" fillId="7" borderId="38" xfId="0" applyFont="1" applyFill="1" applyBorder="1" applyAlignment="1">
      <alignment horizontal="center" vertical="center"/>
    </xf>
    <xf numFmtId="0" fontId="32" fillId="3" borderId="6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 wrapText="1"/>
    </xf>
    <xf numFmtId="0" fontId="42" fillId="6" borderId="29" xfId="0" applyFont="1" applyFill="1" applyBorder="1" applyAlignment="1">
      <alignment horizontal="center" vertical="center" wrapText="1"/>
    </xf>
    <xf numFmtId="44" fontId="30" fillId="0" borderId="29" xfId="3" applyFont="1" applyBorder="1" applyAlignment="1">
      <alignment horizontal="center" vertical="center"/>
    </xf>
    <xf numFmtId="44" fontId="30" fillId="0" borderId="36" xfId="3" applyFont="1" applyBorder="1" applyAlignment="1">
      <alignment vertical="center"/>
    </xf>
    <xf numFmtId="0" fontId="29" fillId="10" borderId="55" xfId="0" applyFont="1" applyFill="1" applyBorder="1" applyAlignment="1">
      <alignment vertical="center"/>
    </xf>
    <xf numFmtId="0" fontId="29" fillId="10" borderId="56" xfId="0" applyFont="1" applyFill="1" applyBorder="1" applyAlignment="1">
      <alignment vertical="center"/>
    </xf>
    <xf numFmtId="44" fontId="30" fillId="16" borderId="43" xfId="3" applyFont="1" applyFill="1" applyBorder="1" applyAlignment="1">
      <alignment horizontal="center" vertical="center"/>
    </xf>
    <xf numFmtId="44" fontId="30" fillId="16" borderId="52" xfId="3" applyFont="1" applyFill="1" applyBorder="1" applyAlignment="1">
      <alignment horizontal="center" vertical="center"/>
    </xf>
    <xf numFmtId="44" fontId="30" fillId="16" borderId="44" xfId="3" applyFont="1" applyFill="1" applyBorder="1" applyAlignment="1">
      <alignment horizontal="center" vertical="center"/>
    </xf>
    <xf numFmtId="44" fontId="30" fillId="16" borderId="45" xfId="3" applyFont="1" applyFill="1" applyBorder="1" applyAlignment="1">
      <alignment horizontal="center" vertical="center"/>
    </xf>
    <xf numFmtId="44" fontId="30" fillId="16" borderId="0" xfId="3" applyFont="1" applyFill="1" applyBorder="1" applyAlignment="1">
      <alignment horizontal="center" vertical="center"/>
    </xf>
    <xf numFmtId="44" fontId="30" fillId="16" borderId="46" xfId="3" applyFont="1" applyFill="1" applyBorder="1" applyAlignment="1">
      <alignment horizontal="center" vertical="center"/>
    </xf>
    <xf numFmtId="44" fontId="30" fillId="16" borderId="74" xfId="3" applyFont="1" applyFill="1" applyBorder="1" applyAlignment="1">
      <alignment horizontal="center" vertical="center"/>
    </xf>
    <xf numFmtId="44" fontId="30" fillId="16" borderId="75" xfId="3" applyFont="1" applyFill="1" applyBorder="1" applyAlignment="1">
      <alignment horizontal="center" vertical="center"/>
    </xf>
    <xf numFmtId="44" fontId="30" fillId="16" borderId="76" xfId="3" applyFont="1" applyFill="1" applyBorder="1" applyAlignment="1">
      <alignment horizontal="center" vertical="center"/>
    </xf>
    <xf numFmtId="0" fontId="42" fillId="14" borderId="37" xfId="0" applyFont="1" applyFill="1" applyBorder="1" applyAlignment="1">
      <alignment horizontal="center" vertical="center" wrapText="1"/>
    </xf>
    <xf numFmtId="0" fontId="42" fillId="14" borderId="38" xfId="0" applyFont="1" applyFill="1" applyBorder="1" applyAlignment="1">
      <alignment horizontal="center" vertical="center" wrapText="1"/>
    </xf>
    <xf numFmtId="44" fontId="30" fillId="14" borderId="38" xfId="3" applyFont="1" applyFill="1" applyBorder="1" applyAlignment="1">
      <alignment horizontal="center" vertical="center"/>
    </xf>
    <xf numFmtId="44" fontId="30" fillId="14" borderId="39" xfId="3" applyFont="1" applyFill="1" applyBorder="1" applyAlignment="1">
      <alignment horizontal="center" vertical="center"/>
    </xf>
    <xf numFmtId="0" fontId="29" fillId="10" borderId="72" xfId="0" applyFont="1" applyFill="1" applyBorder="1" applyAlignment="1">
      <alignment horizontal="center" vertical="center"/>
    </xf>
    <xf numFmtId="0" fontId="29" fillId="10" borderId="42" xfId="0" applyFont="1" applyFill="1" applyBorder="1" applyAlignment="1">
      <alignment horizontal="center" vertical="center"/>
    </xf>
    <xf numFmtId="0" fontId="33" fillId="10" borderId="73" xfId="0" applyFont="1" applyFill="1" applyBorder="1" applyAlignment="1">
      <alignment horizontal="center" vertical="center"/>
    </xf>
    <xf numFmtId="0" fontId="33" fillId="10" borderId="71" xfId="0" applyFont="1" applyFill="1" applyBorder="1" applyAlignment="1">
      <alignment horizontal="center" vertical="center"/>
    </xf>
    <xf numFmtId="0" fontId="41" fillId="7" borderId="35" xfId="0" applyFont="1" applyFill="1" applyBorder="1" applyAlignment="1">
      <alignment horizontal="left" vertical="center" wrapText="1"/>
    </xf>
    <xf numFmtId="0" fontId="41" fillId="7" borderId="29" xfId="0" applyFont="1" applyFill="1" applyBorder="1" applyAlignment="1">
      <alignment horizontal="left" vertical="center" wrapText="1"/>
    </xf>
    <xf numFmtId="0" fontId="42" fillId="6" borderId="35" xfId="0" applyFont="1" applyFill="1" applyBorder="1" applyAlignment="1">
      <alignment horizontal="center" vertical="center" wrapText="1"/>
    </xf>
    <xf numFmtId="0" fontId="42" fillId="6" borderId="29" xfId="0" applyFont="1" applyFill="1" applyBorder="1" applyAlignment="1">
      <alignment horizontal="center" vertical="center" wrapText="1"/>
    </xf>
    <xf numFmtId="44" fontId="30" fillId="0" borderId="54" xfId="3" applyFont="1" applyBorder="1" applyAlignment="1">
      <alignment horizontal="center" vertical="center"/>
    </xf>
    <xf numFmtId="44" fontId="30" fillId="0" borderId="42" xfId="3" applyFont="1" applyBorder="1" applyAlignment="1">
      <alignment horizontal="center" vertical="center"/>
    </xf>
    <xf numFmtId="0" fontId="29" fillId="13" borderId="32" xfId="0" applyFont="1" applyFill="1" applyBorder="1" applyAlignment="1">
      <alignment horizontal="center" vertical="center"/>
    </xf>
    <xf numFmtId="0" fontId="29" fillId="13" borderId="33" xfId="0" applyFont="1" applyFill="1" applyBorder="1" applyAlignment="1">
      <alignment horizontal="center" vertical="center"/>
    </xf>
    <xf numFmtId="0" fontId="29" fillId="13" borderId="34" xfId="0" applyFont="1" applyFill="1" applyBorder="1" applyAlignment="1">
      <alignment horizontal="center" vertical="center"/>
    </xf>
    <xf numFmtId="0" fontId="29" fillId="10" borderId="54" xfId="0" applyFont="1" applyFill="1" applyBorder="1" applyAlignment="1">
      <alignment horizontal="center" vertical="center"/>
    </xf>
    <xf numFmtId="0" fontId="29" fillId="10" borderId="55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41" xfId="0" applyFont="1" applyFill="1" applyBorder="1" applyAlignment="1">
      <alignment horizontal="center" vertical="center"/>
    </xf>
    <xf numFmtId="0" fontId="34" fillId="7" borderId="68" xfId="0" applyFont="1" applyFill="1" applyBorder="1" applyAlignment="1">
      <alignment horizontal="center" vertical="center"/>
    </xf>
    <xf numFmtId="0" fontId="34" fillId="7" borderId="69" xfId="0" applyFont="1" applyFill="1" applyBorder="1" applyAlignment="1">
      <alignment horizontal="center" vertical="center"/>
    </xf>
    <xf numFmtId="0" fontId="34" fillId="7" borderId="70" xfId="0" applyFont="1" applyFill="1" applyBorder="1" applyAlignment="1">
      <alignment horizontal="center" vertical="center"/>
    </xf>
    <xf numFmtId="0" fontId="33" fillId="10" borderId="62" xfId="0" applyFont="1" applyFill="1" applyBorder="1" applyAlignment="1">
      <alignment horizontal="center"/>
    </xf>
    <xf numFmtId="0" fontId="33" fillId="10" borderId="63" xfId="0" applyFont="1" applyFill="1" applyBorder="1" applyAlignment="1">
      <alignment horizontal="center"/>
    </xf>
    <xf numFmtId="0" fontId="33" fillId="10" borderId="64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34" fillId="3" borderId="66" xfId="0" applyFont="1" applyFill="1" applyBorder="1" applyAlignment="1">
      <alignment horizontal="center"/>
    </xf>
    <xf numFmtId="0" fontId="34" fillId="3" borderId="40" xfId="0" applyFont="1" applyFill="1" applyBorder="1" applyAlignment="1">
      <alignment horizontal="center"/>
    </xf>
    <xf numFmtId="0" fontId="34" fillId="3" borderId="67" xfId="0" applyFont="1" applyFill="1" applyBorder="1" applyAlignment="1">
      <alignment horizontal="center"/>
    </xf>
    <xf numFmtId="0" fontId="34" fillId="3" borderId="45" xfId="0" applyFont="1" applyFill="1" applyBorder="1" applyAlignment="1">
      <alignment horizontal="center"/>
    </xf>
    <xf numFmtId="0" fontId="34" fillId="3" borderId="0" xfId="0" applyFont="1" applyFill="1" applyAlignment="1">
      <alignment horizontal="center"/>
    </xf>
    <xf numFmtId="0" fontId="34" fillId="3" borderId="50" xfId="0" applyFont="1" applyFill="1" applyBorder="1" applyAlignment="1">
      <alignment horizontal="center"/>
    </xf>
    <xf numFmtId="0" fontId="34" fillId="3" borderId="59" xfId="0" applyFont="1" applyFill="1" applyBorder="1" applyAlignment="1">
      <alignment horizontal="center"/>
    </xf>
    <xf numFmtId="0" fontId="34" fillId="3" borderId="60" xfId="0" applyFont="1" applyFill="1" applyBorder="1" applyAlignment="1">
      <alignment horizontal="center"/>
    </xf>
    <xf numFmtId="0" fontId="34" fillId="3" borderId="61" xfId="0" applyFont="1" applyFill="1" applyBorder="1" applyAlignment="1">
      <alignment horizontal="center"/>
    </xf>
    <xf numFmtId="0" fontId="34" fillId="7" borderId="54" xfId="0" applyFont="1" applyFill="1" applyBorder="1" applyAlignment="1">
      <alignment horizontal="center" vertical="center"/>
    </xf>
    <xf numFmtId="0" fontId="34" fillId="7" borderId="55" xfId="0" applyFont="1" applyFill="1" applyBorder="1" applyAlignment="1">
      <alignment horizontal="center" vertical="center"/>
    </xf>
    <xf numFmtId="0" fontId="34" fillId="7" borderId="42" xfId="0" applyFont="1" applyFill="1" applyBorder="1" applyAlignment="1">
      <alignment horizontal="center" vertical="center"/>
    </xf>
    <xf numFmtId="0" fontId="34" fillId="7" borderId="56" xfId="0" applyFont="1" applyFill="1" applyBorder="1" applyAlignment="1">
      <alignment horizontal="center" vertical="center"/>
    </xf>
    <xf numFmtId="0" fontId="32" fillId="7" borderId="43" xfId="0" applyFont="1" applyFill="1" applyBorder="1" applyAlignment="1">
      <alignment horizontal="center"/>
    </xf>
    <xf numFmtId="0" fontId="32" fillId="7" borderId="44" xfId="0" applyFont="1" applyFill="1" applyBorder="1" applyAlignment="1">
      <alignment horizontal="center"/>
    </xf>
    <xf numFmtId="0" fontId="32" fillId="7" borderId="45" xfId="0" applyFont="1" applyFill="1" applyBorder="1" applyAlignment="1">
      <alignment horizontal="center"/>
    </xf>
    <xf numFmtId="0" fontId="32" fillId="7" borderId="46" xfId="0" applyFont="1" applyFill="1" applyBorder="1" applyAlignment="1">
      <alignment horizontal="center"/>
    </xf>
    <xf numFmtId="0" fontId="32" fillId="7" borderId="47" xfId="0" applyFont="1" applyFill="1" applyBorder="1" applyAlignment="1">
      <alignment horizontal="center"/>
    </xf>
    <xf numFmtId="0" fontId="32" fillId="7" borderId="48" xfId="0" applyFont="1" applyFill="1" applyBorder="1" applyAlignment="1">
      <alignment horizontal="center"/>
    </xf>
    <xf numFmtId="0" fontId="32" fillId="7" borderId="49" xfId="0" applyFont="1" applyFill="1" applyBorder="1" applyAlignment="1">
      <alignment horizontal="center"/>
    </xf>
    <xf numFmtId="0" fontId="32" fillId="7" borderId="50" xfId="0" applyFont="1" applyFill="1" applyBorder="1" applyAlignment="1">
      <alignment horizontal="center"/>
    </xf>
    <xf numFmtId="0" fontId="32" fillId="7" borderId="51" xfId="0" applyFont="1" applyFill="1" applyBorder="1" applyAlignment="1">
      <alignment horizontal="center"/>
    </xf>
    <xf numFmtId="0" fontId="34" fillId="7" borderId="29" xfId="0" applyFont="1" applyFill="1" applyBorder="1" applyAlignment="1">
      <alignment horizontal="center" vertical="center"/>
    </xf>
    <xf numFmtId="0" fontId="31" fillId="15" borderId="30" xfId="1" applyFont="1" applyFill="1" applyBorder="1" applyAlignment="1" applyProtection="1">
      <alignment horizontal="center" vertical="center"/>
      <protection hidden="1"/>
    </xf>
    <xf numFmtId="0" fontId="31" fillId="15" borderId="40" xfId="1" applyFont="1" applyFill="1" applyBorder="1" applyAlignment="1" applyProtection="1">
      <alignment horizontal="center" vertical="center"/>
      <protection hidden="1"/>
    </xf>
    <xf numFmtId="0" fontId="31" fillId="15" borderId="31" xfId="1" applyFont="1" applyFill="1" applyBorder="1" applyAlignment="1" applyProtection="1">
      <alignment horizontal="center" vertical="center"/>
      <protection hidden="1"/>
    </xf>
    <xf numFmtId="0" fontId="32" fillId="3" borderId="35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3" fillId="10" borderId="33" xfId="0" applyFont="1" applyFill="1" applyBorder="1" applyAlignment="1">
      <alignment horizontal="center" vertical="center"/>
    </xf>
    <xf numFmtId="0" fontId="33" fillId="10" borderId="34" xfId="0" applyFont="1" applyFill="1" applyBorder="1" applyAlignment="1">
      <alignment horizontal="center" vertical="center"/>
    </xf>
    <xf numFmtId="0" fontId="37" fillId="10" borderId="33" xfId="0" applyFont="1" applyFill="1" applyBorder="1" applyAlignment="1">
      <alignment horizontal="center" vertical="center"/>
    </xf>
    <xf numFmtId="0" fontId="37" fillId="10" borderId="34" xfId="0" applyFont="1" applyFill="1" applyBorder="1" applyAlignment="1">
      <alignment horizontal="center" vertical="center"/>
    </xf>
    <xf numFmtId="0" fontId="36" fillId="7" borderId="29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38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33" fillId="10" borderId="57" xfId="0" applyFont="1" applyFill="1" applyBorder="1" applyAlignment="1">
      <alignment horizontal="center" vertical="center" wrapText="1"/>
    </xf>
    <xf numFmtId="0" fontId="33" fillId="10" borderId="58" xfId="0" applyFont="1" applyFill="1" applyBorder="1" applyAlignment="1">
      <alignment horizontal="center" vertical="center" wrapText="1"/>
    </xf>
    <xf numFmtId="0" fontId="34" fillId="7" borderId="38" xfId="0" applyFont="1" applyFill="1" applyBorder="1" applyAlignment="1">
      <alignment horizontal="center" vertical="center"/>
    </xf>
    <xf numFmtId="0" fontId="39" fillId="3" borderId="43" xfId="0" applyFont="1" applyFill="1" applyBorder="1" applyAlignment="1">
      <alignment horizontal="center" vertical="center"/>
    </xf>
    <xf numFmtId="0" fontId="39" fillId="3" borderId="52" xfId="0" applyFont="1" applyFill="1" applyBorder="1" applyAlignment="1">
      <alignment horizontal="center" vertical="center"/>
    </xf>
    <xf numFmtId="0" fontId="39" fillId="3" borderId="49" xfId="0" applyFont="1" applyFill="1" applyBorder="1" applyAlignment="1">
      <alignment horizontal="center" vertical="center"/>
    </xf>
    <xf numFmtId="0" fontId="39" fillId="3" borderId="45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50" xfId="0" applyFont="1" applyFill="1" applyBorder="1" applyAlignment="1">
      <alignment horizontal="center" vertical="center"/>
    </xf>
    <xf numFmtId="0" fontId="39" fillId="3" borderId="47" xfId="0" applyFont="1" applyFill="1" applyBorder="1" applyAlignment="1">
      <alignment horizontal="center" vertical="center"/>
    </xf>
    <xf numFmtId="0" fontId="39" fillId="3" borderId="53" xfId="0" applyFont="1" applyFill="1" applyBorder="1" applyAlignment="1">
      <alignment horizontal="center" vertical="center"/>
    </xf>
    <xf numFmtId="0" fontId="39" fillId="3" borderId="51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/>
    </xf>
    <xf numFmtId="0" fontId="40" fillId="10" borderId="29" xfId="0" applyFont="1" applyFill="1" applyBorder="1" applyAlignment="1">
      <alignment horizontal="center" vertical="center"/>
    </xf>
    <xf numFmtId="0" fontId="40" fillId="10" borderId="3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0" borderId="0" xfId="0"/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10" fillId="0" borderId="23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10" fillId="0" borderId="19" xfId="1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ParaBirimi" xfId="3" builtinId="4"/>
    <cellStyle name="Yüzde" xfId="2" builtinId="5"/>
  </cellStyles>
  <dxfs count="3"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A7FB-DA8B-453A-A11A-37621875F8FF}">
  <dimension ref="A1:M91"/>
  <sheetViews>
    <sheetView tabSelected="1" topLeftCell="A64" zoomScale="70" zoomScaleNormal="70" workbookViewId="0">
      <selection activeCell="A90" sqref="A90:B90"/>
    </sheetView>
  </sheetViews>
  <sheetFormatPr defaultRowHeight="15" x14ac:dyDescent="0.25"/>
  <cols>
    <col min="1" max="1" width="70.7109375" style="116" customWidth="1"/>
    <col min="2" max="2" width="50.28515625" style="116" customWidth="1"/>
    <col min="3" max="3" width="26.42578125" style="116" bestFit="1" customWidth="1"/>
    <col min="4" max="4" width="45.28515625" style="116" bestFit="1" customWidth="1"/>
    <col min="5" max="6" width="45.7109375" style="116" customWidth="1"/>
    <col min="7" max="12" width="9.140625" style="116"/>
    <col min="13" max="13" width="41.85546875" style="116" customWidth="1"/>
    <col min="14" max="16384" width="9.140625" style="116"/>
  </cols>
  <sheetData>
    <row r="1" spans="1:6" ht="45" customHeight="1" thickBot="1" x14ac:dyDescent="0.3">
      <c r="A1" s="213" t="s">
        <v>319</v>
      </c>
      <c r="B1" s="214"/>
      <c r="C1" s="214"/>
      <c r="D1" s="214"/>
      <c r="E1" s="214"/>
      <c r="F1" s="215"/>
    </row>
    <row r="2" spans="1:6" ht="30" customHeight="1" thickTop="1" x14ac:dyDescent="0.35">
      <c r="A2" s="117" t="s">
        <v>322</v>
      </c>
      <c r="B2" s="118">
        <v>105</v>
      </c>
      <c r="C2" s="186" t="s">
        <v>399</v>
      </c>
      <c r="D2" s="187"/>
      <c r="E2" s="186" t="s">
        <v>400</v>
      </c>
      <c r="F2" s="188"/>
    </row>
    <row r="3" spans="1:6" ht="30" customHeight="1" x14ac:dyDescent="0.25">
      <c r="A3" s="119" t="s">
        <v>355</v>
      </c>
      <c r="B3" s="120">
        <v>32</v>
      </c>
      <c r="C3" s="189">
        <v>80</v>
      </c>
      <c r="D3" s="189"/>
      <c r="E3" s="189">
        <v>80</v>
      </c>
      <c r="F3" s="189"/>
    </row>
    <row r="4" spans="1:6" ht="30" customHeight="1" x14ac:dyDescent="0.25">
      <c r="A4" s="119" t="s">
        <v>395</v>
      </c>
      <c r="B4" s="120">
        <v>6</v>
      </c>
      <c r="C4" s="189"/>
      <c r="D4" s="189"/>
      <c r="E4" s="189"/>
      <c r="F4" s="189"/>
    </row>
    <row r="5" spans="1:6" ht="30" customHeight="1" x14ac:dyDescent="0.25">
      <c r="A5" s="119" t="s">
        <v>358</v>
      </c>
      <c r="B5" s="121"/>
      <c r="C5" s="190"/>
      <c r="D5" s="191"/>
      <c r="E5" s="191"/>
      <c r="F5" s="192"/>
    </row>
    <row r="6" spans="1:6" ht="30" customHeight="1" x14ac:dyDescent="0.25">
      <c r="A6" s="119" t="s">
        <v>359</v>
      </c>
      <c r="B6" s="121"/>
      <c r="C6" s="193"/>
      <c r="D6" s="194"/>
      <c r="E6" s="194"/>
      <c r="F6" s="195"/>
    </row>
    <row r="7" spans="1:6" ht="30" customHeight="1" x14ac:dyDescent="0.25">
      <c r="A7" s="119" t="s">
        <v>321</v>
      </c>
      <c r="B7" s="121">
        <v>1</v>
      </c>
      <c r="C7" s="193"/>
      <c r="D7" s="194"/>
      <c r="E7" s="194"/>
      <c r="F7" s="195"/>
    </row>
    <row r="8" spans="1:6" ht="30" customHeight="1" x14ac:dyDescent="0.25">
      <c r="A8" s="119" t="s">
        <v>367</v>
      </c>
      <c r="B8" s="121"/>
      <c r="C8" s="193"/>
      <c r="D8" s="194"/>
      <c r="E8" s="194"/>
      <c r="F8" s="195"/>
    </row>
    <row r="9" spans="1:6" ht="30" customHeight="1" x14ac:dyDescent="0.25">
      <c r="A9" s="119" t="s">
        <v>323</v>
      </c>
      <c r="B9" s="121">
        <v>2.8</v>
      </c>
      <c r="C9" s="193"/>
      <c r="D9" s="194"/>
      <c r="E9" s="194"/>
      <c r="F9" s="195"/>
    </row>
    <row r="10" spans="1:6" ht="30" customHeight="1" x14ac:dyDescent="0.25">
      <c r="A10" s="119" t="s">
        <v>324</v>
      </c>
      <c r="B10" s="121" t="s">
        <v>405</v>
      </c>
      <c r="C10" s="193"/>
      <c r="D10" s="194"/>
      <c r="E10" s="194"/>
      <c r="F10" s="195"/>
    </row>
    <row r="11" spans="1:6" ht="30" customHeight="1" x14ac:dyDescent="0.25">
      <c r="A11" s="119" t="s">
        <v>325</v>
      </c>
      <c r="B11" s="122">
        <v>0.3</v>
      </c>
      <c r="C11" s="193"/>
      <c r="D11" s="194"/>
      <c r="E11" s="194"/>
      <c r="F11" s="195"/>
    </row>
    <row r="12" spans="1:6" ht="30" customHeight="1" x14ac:dyDescent="0.25">
      <c r="A12" s="119" t="s">
        <v>384</v>
      </c>
      <c r="B12" s="121">
        <v>105</v>
      </c>
      <c r="C12" s="193"/>
      <c r="D12" s="194"/>
      <c r="E12" s="194"/>
      <c r="F12" s="195"/>
    </row>
    <row r="13" spans="1:6" ht="30" customHeight="1" x14ac:dyDescent="0.25">
      <c r="A13" s="119" t="s">
        <v>382</v>
      </c>
      <c r="B13" s="121" t="s">
        <v>381</v>
      </c>
      <c r="C13" s="196"/>
      <c r="D13" s="197"/>
      <c r="E13" s="197"/>
      <c r="F13" s="198"/>
    </row>
    <row r="14" spans="1:6" ht="30" customHeight="1" x14ac:dyDescent="0.25">
      <c r="A14" s="216" t="s">
        <v>320</v>
      </c>
      <c r="B14" s="217" t="s">
        <v>394</v>
      </c>
      <c r="C14" s="227" t="s">
        <v>372</v>
      </c>
      <c r="D14" s="227"/>
      <c r="E14" s="227" t="s">
        <v>373</v>
      </c>
      <c r="F14" s="228"/>
    </row>
    <row r="15" spans="1:6" ht="30" customHeight="1" x14ac:dyDescent="0.25">
      <c r="A15" s="216"/>
      <c r="B15" s="217"/>
      <c r="C15" s="203"/>
      <c r="D15" s="204"/>
      <c r="E15" s="203"/>
      <c r="F15" s="209"/>
    </row>
    <row r="16" spans="1:6" ht="30" customHeight="1" x14ac:dyDescent="0.25">
      <c r="A16" s="119" t="s">
        <v>410</v>
      </c>
      <c r="B16" s="121">
        <v>0.4</v>
      </c>
      <c r="C16" s="205"/>
      <c r="D16" s="206"/>
      <c r="E16" s="205"/>
      <c r="F16" s="210"/>
    </row>
    <row r="17" spans="1:13" ht="30" customHeight="1" x14ac:dyDescent="0.25">
      <c r="A17" s="119" t="s">
        <v>408</v>
      </c>
      <c r="B17" s="121">
        <f>10.28+10.28</f>
        <v>20.56</v>
      </c>
      <c r="C17" s="205"/>
      <c r="D17" s="206"/>
      <c r="E17" s="205"/>
      <c r="F17" s="210"/>
    </row>
    <row r="18" spans="1:13" ht="30" customHeight="1" thickBot="1" x14ac:dyDescent="0.3">
      <c r="A18" s="123" t="s">
        <v>409</v>
      </c>
      <c r="B18" s="124">
        <f>10.2+10.2</f>
        <v>20.399999999999999</v>
      </c>
      <c r="C18" s="207"/>
      <c r="D18" s="208"/>
      <c r="E18" s="207"/>
      <c r="F18" s="211"/>
      <c r="L18" s="125"/>
      <c r="M18" s="125"/>
    </row>
    <row r="19" spans="1:13" ht="39.950000000000003" customHeight="1" thickTop="1" thickBot="1" x14ac:dyDescent="0.35">
      <c r="A19" s="226"/>
      <c r="B19" s="226"/>
      <c r="C19" s="226"/>
      <c r="D19" s="226"/>
      <c r="E19" s="226"/>
      <c r="F19" s="226"/>
      <c r="L19" s="125"/>
      <c r="M19" s="125"/>
    </row>
    <row r="20" spans="1:13" ht="35.1" customHeight="1" thickTop="1" x14ac:dyDescent="0.25">
      <c r="A20" s="126" t="s">
        <v>360</v>
      </c>
      <c r="B20" s="218" t="s">
        <v>385</v>
      </c>
      <c r="C20" s="218"/>
      <c r="D20" s="218"/>
      <c r="E20" s="218"/>
      <c r="F20" s="128" t="s">
        <v>386</v>
      </c>
      <c r="L20" s="125"/>
      <c r="M20" s="125"/>
    </row>
    <row r="21" spans="1:13" ht="30" customHeight="1" x14ac:dyDescent="0.25">
      <c r="A21" s="119" t="s">
        <v>361</v>
      </c>
      <c r="B21" s="212"/>
      <c r="C21" s="212"/>
      <c r="D21" s="212"/>
      <c r="E21" s="212"/>
      <c r="F21" s="130" t="s">
        <v>387</v>
      </c>
      <c r="L21" s="125"/>
      <c r="M21" s="125"/>
    </row>
    <row r="22" spans="1:13" ht="30" customHeight="1" x14ac:dyDescent="0.25">
      <c r="A22" s="119" t="s">
        <v>362</v>
      </c>
      <c r="B22" s="212"/>
      <c r="C22" s="212"/>
      <c r="D22" s="212"/>
      <c r="E22" s="212"/>
      <c r="F22" s="130" t="s">
        <v>387</v>
      </c>
    </row>
    <row r="23" spans="1:13" ht="30" customHeight="1" x14ac:dyDescent="0.25">
      <c r="A23" s="119" t="s">
        <v>363</v>
      </c>
      <c r="B23" s="212">
        <v>4</v>
      </c>
      <c r="C23" s="212"/>
      <c r="D23" s="212"/>
      <c r="E23" s="212"/>
      <c r="F23" s="130" t="s">
        <v>387</v>
      </c>
    </row>
    <row r="24" spans="1:13" ht="30" customHeight="1" x14ac:dyDescent="0.25">
      <c r="A24" s="119" t="s">
        <v>364</v>
      </c>
      <c r="B24" s="212"/>
      <c r="C24" s="212"/>
      <c r="D24" s="212"/>
      <c r="E24" s="212"/>
      <c r="F24" s="130" t="s">
        <v>387</v>
      </c>
    </row>
    <row r="25" spans="1:13" ht="30" customHeight="1" x14ac:dyDescent="0.25">
      <c r="A25" s="119" t="s">
        <v>365</v>
      </c>
      <c r="B25" s="212"/>
      <c r="C25" s="212"/>
      <c r="D25" s="212"/>
      <c r="E25" s="212"/>
      <c r="F25" s="130" t="s">
        <v>387</v>
      </c>
    </row>
    <row r="26" spans="1:13" ht="30" customHeight="1" thickBot="1" x14ac:dyDescent="0.3">
      <c r="A26" s="123" t="s">
        <v>366</v>
      </c>
      <c r="B26" s="229"/>
      <c r="C26" s="229"/>
      <c r="D26" s="229"/>
      <c r="E26" s="229"/>
      <c r="F26" s="131" t="s">
        <v>387</v>
      </c>
    </row>
    <row r="27" spans="1:13" ht="39.950000000000003" customHeight="1" thickTop="1" thickBot="1" x14ac:dyDescent="0.3">
      <c r="A27" s="181"/>
      <c r="B27" s="181"/>
      <c r="C27" s="181"/>
      <c r="D27" s="181"/>
      <c r="E27" s="181"/>
      <c r="F27" s="181"/>
    </row>
    <row r="28" spans="1:13" ht="35.1" customHeight="1" thickTop="1" x14ac:dyDescent="0.25">
      <c r="A28" s="126" t="s">
        <v>350</v>
      </c>
      <c r="B28" s="218" t="s">
        <v>385</v>
      </c>
      <c r="C28" s="218"/>
      <c r="D28" s="218"/>
      <c r="E28" s="218"/>
      <c r="F28" s="128" t="s">
        <v>386</v>
      </c>
    </row>
    <row r="29" spans="1:13" ht="30" customHeight="1" x14ac:dyDescent="0.25">
      <c r="A29" s="119" t="s">
        <v>328</v>
      </c>
      <c r="B29" s="212">
        <f>17.5</f>
        <v>17.5</v>
      </c>
      <c r="C29" s="212"/>
      <c r="D29" s="212"/>
      <c r="E29" s="212"/>
      <c r="F29" s="130" t="s">
        <v>368</v>
      </c>
    </row>
    <row r="30" spans="1:13" ht="30" customHeight="1" x14ac:dyDescent="0.25">
      <c r="A30" s="119" t="s">
        <v>329</v>
      </c>
      <c r="B30" s="212">
        <f>7+1.5+11</f>
        <v>19.5</v>
      </c>
      <c r="C30" s="212"/>
      <c r="D30" s="212"/>
      <c r="E30" s="212"/>
      <c r="F30" s="130" t="s">
        <v>24</v>
      </c>
    </row>
    <row r="31" spans="1:13" ht="30" customHeight="1" x14ac:dyDescent="0.35">
      <c r="A31" s="132"/>
      <c r="B31" s="133" t="s">
        <v>389</v>
      </c>
      <c r="C31" s="134" t="s">
        <v>386</v>
      </c>
      <c r="D31" s="134" t="s">
        <v>390</v>
      </c>
      <c r="E31" s="134" t="s">
        <v>391</v>
      </c>
      <c r="F31" s="135" t="s">
        <v>392</v>
      </c>
    </row>
    <row r="32" spans="1:13" ht="30" customHeight="1" x14ac:dyDescent="0.25">
      <c r="A32" s="119" t="s">
        <v>369</v>
      </c>
      <c r="B32" s="129">
        <v>39.5</v>
      </c>
      <c r="C32" s="136" t="s">
        <v>368</v>
      </c>
      <c r="D32" s="129" t="s">
        <v>388</v>
      </c>
      <c r="E32" s="129" t="s">
        <v>397</v>
      </c>
      <c r="F32" s="137" t="s">
        <v>132</v>
      </c>
    </row>
    <row r="33" spans="1:6" ht="30" customHeight="1" x14ac:dyDescent="0.25">
      <c r="A33" s="119" t="s">
        <v>370</v>
      </c>
      <c r="B33" s="129">
        <v>33</v>
      </c>
      <c r="C33" s="136" t="s">
        <v>368</v>
      </c>
      <c r="D33" s="129" t="s">
        <v>388</v>
      </c>
      <c r="E33" s="129" t="s">
        <v>397</v>
      </c>
      <c r="F33" s="137" t="s">
        <v>221</v>
      </c>
    </row>
    <row r="34" spans="1:6" ht="30" customHeight="1" x14ac:dyDescent="0.25">
      <c r="A34" s="119" t="s">
        <v>326</v>
      </c>
      <c r="B34" s="138">
        <f>İSİMLENDİRME!S17</f>
        <v>126.724896</v>
      </c>
      <c r="C34" s="136" t="s">
        <v>24</v>
      </c>
      <c r="D34" s="129" t="s">
        <v>388</v>
      </c>
      <c r="E34" s="129" t="s">
        <v>397</v>
      </c>
      <c r="F34" s="137"/>
    </row>
    <row r="35" spans="1:6" ht="30" customHeight="1" x14ac:dyDescent="0.25">
      <c r="A35" s="119" t="s">
        <v>327</v>
      </c>
      <c r="B35" s="129">
        <v>97</v>
      </c>
      <c r="C35" s="136" t="s">
        <v>24</v>
      </c>
      <c r="D35" s="129" t="s">
        <v>221</v>
      </c>
      <c r="E35" s="129"/>
      <c r="F35" s="137"/>
    </row>
    <row r="36" spans="1:6" ht="30" hidden="1" customHeight="1" thickBot="1" x14ac:dyDescent="0.3">
      <c r="A36" s="123" t="s">
        <v>376</v>
      </c>
      <c r="B36" s="139">
        <f>B16*(B17+B18)</f>
        <v>16.383999999999997</v>
      </c>
      <c r="C36" s="140" t="s">
        <v>368</v>
      </c>
      <c r="D36" s="183"/>
      <c r="E36" s="184"/>
      <c r="F36" s="185"/>
    </row>
    <row r="37" spans="1:6" ht="39.950000000000003" customHeight="1" thickBot="1" x14ac:dyDescent="0.3">
      <c r="A37" s="181"/>
      <c r="B37" s="181"/>
      <c r="C37" s="181"/>
      <c r="D37" s="181"/>
      <c r="E37" s="181"/>
      <c r="F37" s="181"/>
    </row>
    <row r="38" spans="1:6" ht="35.1" customHeight="1" thickTop="1" x14ac:dyDescent="0.25">
      <c r="A38" s="141" t="s">
        <v>347</v>
      </c>
      <c r="B38" s="220" t="s">
        <v>29</v>
      </c>
      <c r="C38" s="220"/>
      <c r="D38" s="220"/>
      <c r="E38" s="220"/>
      <c r="F38" s="221"/>
    </row>
    <row r="39" spans="1:6" ht="30" customHeight="1" x14ac:dyDescent="0.25">
      <c r="A39" s="142" t="s">
        <v>330</v>
      </c>
      <c r="B39" s="222">
        <v>1</v>
      </c>
      <c r="C39" s="222"/>
      <c r="D39" s="222"/>
      <c r="E39" s="222"/>
      <c r="F39" s="223"/>
    </row>
    <row r="40" spans="1:6" ht="30" customHeight="1" x14ac:dyDescent="0.25">
      <c r="A40" s="142" t="s">
        <v>331</v>
      </c>
      <c r="B40" s="222"/>
      <c r="C40" s="222"/>
      <c r="D40" s="222"/>
      <c r="E40" s="222"/>
      <c r="F40" s="223"/>
    </row>
    <row r="41" spans="1:6" ht="30" customHeight="1" x14ac:dyDescent="0.25">
      <c r="A41" s="142" t="s">
        <v>332</v>
      </c>
      <c r="B41" s="222"/>
      <c r="C41" s="222"/>
      <c r="D41" s="222"/>
      <c r="E41" s="222"/>
      <c r="F41" s="223"/>
    </row>
    <row r="42" spans="1:6" ht="30" customHeight="1" x14ac:dyDescent="0.25">
      <c r="A42" s="142" t="s">
        <v>333</v>
      </c>
      <c r="B42" s="222">
        <v>6</v>
      </c>
      <c r="C42" s="222"/>
      <c r="D42" s="222"/>
      <c r="E42" s="222"/>
      <c r="F42" s="223"/>
    </row>
    <row r="43" spans="1:6" ht="30" customHeight="1" thickBot="1" x14ac:dyDescent="0.3">
      <c r="A43" s="144" t="s">
        <v>334</v>
      </c>
      <c r="B43" s="224"/>
      <c r="C43" s="224"/>
      <c r="D43" s="224"/>
      <c r="E43" s="224"/>
      <c r="F43" s="225"/>
    </row>
    <row r="44" spans="1:6" ht="39.950000000000003" customHeight="1" thickTop="1" thickBot="1" x14ac:dyDescent="0.3">
      <c r="A44" s="181"/>
      <c r="B44" s="181"/>
      <c r="C44" s="181"/>
      <c r="D44" s="181"/>
      <c r="E44" s="181"/>
      <c r="F44" s="181"/>
    </row>
    <row r="45" spans="1:6" ht="35.1" customHeight="1" thickTop="1" x14ac:dyDescent="0.25">
      <c r="A45" s="126" t="s">
        <v>348</v>
      </c>
      <c r="B45" s="127" t="s">
        <v>29</v>
      </c>
      <c r="C45" s="218" t="s">
        <v>349</v>
      </c>
      <c r="D45" s="218"/>
      <c r="E45" s="218"/>
      <c r="F45" s="219"/>
    </row>
    <row r="46" spans="1:6" ht="30" customHeight="1" x14ac:dyDescent="0.25">
      <c r="A46" s="119" t="s">
        <v>335</v>
      </c>
      <c r="B46" s="143"/>
      <c r="C46" s="230" t="s">
        <v>377</v>
      </c>
      <c r="D46" s="231"/>
      <c r="E46" s="231"/>
      <c r="F46" s="232"/>
    </row>
    <row r="47" spans="1:6" ht="30" customHeight="1" x14ac:dyDescent="0.25">
      <c r="A47" s="119" t="s">
        <v>336</v>
      </c>
      <c r="B47" s="143"/>
      <c r="C47" s="233"/>
      <c r="D47" s="234"/>
      <c r="E47" s="234"/>
      <c r="F47" s="235"/>
    </row>
    <row r="48" spans="1:6" ht="30" customHeight="1" x14ac:dyDescent="0.25">
      <c r="A48" s="119" t="s">
        <v>337</v>
      </c>
      <c r="B48" s="143">
        <v>1</v>
      </c>
      <c r="C48" s="233"/>
      <c r="D48" s="234"/>
      <c r="E48" s="234"/>
      <c r="F48" s="235"/>
    </row>
    <row r="49" spans="1:6" ht="30" customHeight="1" x14ac:dyDescent="0.25">
      <c r="A49" s="119" t="s">
        <v>338</v>
      </c>
      <c r="B49" s="143">
        <v>2</v>
      </c>
      <c r="C49" s="233"/>
      <c r="D49" s="234"/>
      <c r="E49" s="234"/>
      <c r="F49" s="235"/>
    </row>
    <row r="50" spans="1:6" ht="30" customHeight="1" x14ac:dyDescent="0.25">
      <c r="A50" s="119" t="s">
        <v>339</v>
      </c>
      <c r="B50" s="143"/>
      <c r="C50" s="233"/>
      <c r="D50" s="234"/>
      <c r="E50" s="234"/>
      <c r="F50" s="235"/>
    </row>
    <row r="51" spans="1:6" ht="30" customHeight="1" x14ac:dyDescent="0.25">
      <c r="A51" s="119" t="s">
        <v>340</v>
      </c>
      <c r="B51" s="143"/>
      <c r="C51" s="233"/>
      <c r="D51" s="234"/>
      <c r="E51" s="234"/>
      <c r="F51" s="235"/>
    </row>
    <row r="52" spans="1:6" ht="30" customHeight="1" x14ac:dyDescent="0.25">
      <c r="A52" s="119" t="s">
        <v>341</v>
      </c>
      <c r="B52" s="143"/>
      <c r="C52" s="233"/>
      <c r="D52" s="234"/>
      <c r="E52" s="234"/>
      <c r="F52" s="235"/>
    </row>
    <row r="53" spans="1:6" ht="30" customHeight="1" x14ac:dyDescent="0.25">
      <c r="A53" s="119" t="s">
        <v>342</v>
      </c>
      <c r="B53" s="143"/>
      <c r="C53" s="233"/>
      <c r="D53" s="234"/>
      <c r="E53" s="234"/>
      <c r="F53" s="235"/>
    </row>
    <row r="54" spans="1:6" ht="30" customHeight="1" x14ac:dyDescent="0.25">
      <c r="A54" s="119" t="s">
        <v>343</v>
      </c>
      <c r="B54" s="143"/>
      <c r="C54" s="233"/>
      <c r="D54" s="234"/>
      <c r="E54" s="234"/>
      <c r="F54" s="235"/>
    </row>
    <row r="55" spans="1:6" ht="30" customHeight="1" x14ac:dyDescent="0.25">
      <c r="A55" s="119" t="s">
        <v>344</v>
      </c>
      <c r="B55" s="143">
        <v>3</v>
      </c>
      <c r="C55" s="233"/>
      <c r="D55" s="234"/>
      <c r="E55" s="234"/>
      <c r="F55" s="235"/>
    </row>
    <row r="56" spans="1:6" ht="30" customHeight="1" x14ac:dyDescent="0.25">
      <c r="A56" s="119" t="s">
        <v>345</v>
      </c>
      <c r="B56" s="143"/>
      <c r="C56" s="233"/>
      <c r="D56" s="234"/>
      <c r="E56" s="234"/>
      <c r="F56" s="235"/>
    </row>
    <row r="57" spans="1:6" ht="30" customHeight="1" thickBot="1" x14ac:dyDescent="0.3">
      <c r="A57" s="123" t="s">
        <v>346</v>
      </c>
      <c r="B57" s="145">
        <v>2</v>
      </c>
      <c r="C57" s="236"/>
      <c r="D57" s="237"/>
      <c r="E57" s="237"/>
      <c r="F57" s="238"/>
    </row>
    <row r="58" spans="1:6" ht="39.950000000000003" customHeight="1" thickTop="1" thickBot="1" x14ac:dyDescent="0.3">
      <c r="A58" s="181"/>
      <c r="B58" s="181"/>
      <c r="C58" s="181"/>
      <c r="D58" s="181"/>
      <c r="E58" s="181"/>
      <c r="F58" s="181"/>
    </row>
    <row r="59" spans="1:6" ht="35.1" customHeight="1" thickTop="1" x14ac:dyDescent="0.25">
      <c r="A59" s="168" t="s">
        <v>351</v>
      </c>
      <c r="B59" s="218" t="s">
        <v>29</v>
      </c>
      <c r="C59" s="218"/>
      <c r="D59" s="218"/>
      <c r="E59" s="218"/>
      <c r="F59" s="219"/>
    </row>
    <row r="60" spans="1:6" ht="30" customHeight="1" x14ac:dyDescent="0.25">
      <c r="A60" s="169"/>
      <c r="B60" s="240" t="s">
        <v>356</v>
      </c>
      <c r="C60" s="240"/>
      <c r="D60" s="240"/>
      <c r="E60" s="240" t="s">
        <v>357</v>
      </c>
      <c r="F60" s="241"/>
    </row>
    <row r="61" spans="1:6" ht="30" customHeight="1" x14ac:dyDescent="0.25">
      <c r="A61" s="119" t="s">
        <v>352</v>
      </c>
      <c r="B61" s="212">
        <v>2</v>
      </c>
      <c r="C61" s="212"/>
      <c r="D61" s="212"/>
      <c r="E61" s="212"/>
      <c r="F61" s="239"/>
    </row>
    <row r="62" spans="1:6" ht="30" customHeight="1" x14ac:dyDescent="0.25">
      <c r="A62" s="119" t="s">
        <v>353</v>
      </c>
      <c r="B62" s="212">
        <v>2</v>
      </c>
      <c r="C62" s="212"/>
      <c r="D62" s="212"/>
      <c r="E62" s="212"/>
      <c r="F62" s="239"/>
    </row>
    <row r="63" spans="1:6" ht="30" customHeight="1" x14ac:dyDescent="0.25">
      <c r="A63" s="146" t="s">
        <v>401</v>
      </c>
      <c r="B63" s="199"/>
      <c r="C63" s="200"/>
      <c r="D63" s="201"/>
      <c r="E63" s="199"/>
      <c r="F63" s="202"/>
    </row>
    <row r="64" spans="1:6" ht="30" customHeight="1" thickBot="1" x14ac:dyDescent="0.3">
      <c r="A64" s="144" t="s">
        <v>354</v>
      </c>
      <c r="B64" s="224">
        <v>2</v>
      </c>
      <c r="C64" s="224"/>
      <c r="D64" s="224"/>
      <c r="E64" s="224"/>
      <c r="F64" s="225"/>
    </row>
    <row r="65" spans="1:6" ht="39.950000000000003" customHeight="1" thickTop="1" x14ac:dyDescent="0.25">
      <c r="A65" s="182"/>
      <c r="B65" s="182"/>
      <c r="C65" s="182"/>
      <c r="D65" s="182"/>
      <c r="E65" s="182"/>
      <c r="F65" s="182"/>
    </row>
    <row r="73" spans="1:6" ht="15.75" thickBot="1" x14ac:dyDescent="0.3"/>
    <row r="74" spans="1:6" ht="45" customHeight="1" thickTop="1" x14ac:dyDescent="0.25">
      <c r="A74" s="176" t="s">
        <v>411</v>
      </c>
      <c r="B74" s="177"/>
      <c r="C74" s="177"/>
      <c r="D74" s="177"/>
      <c r="E74" s="177"/>
      <c r="F74" s="178"/>
    </row>
    <row r="75" spans="1:6" ht="45" customHeight="1" x14ac:dyDescent="0.25">
      <c r="A75" s="166" t="s">
        <v>412</v>
      </c>
      <c r="B75" s="167"/>
      <c r="C75" s="179" t="s">
        <v>423</v>
      </c>
      <c r="D75" s="180"/>
      <c r="E75" s="151" t="s">
        <v>424</v>
      </c>
      <c r="F75" s="152" t="s">
        <v>425</v>
      </c>
    </row>
    <row r="76" spans="1:6" ht="35.1" customHeight="1" x14ac:dyDescent="0.25">
      <c r="A76" s="170" t="s">
        <v>413</v>
      </c>
      <c r="B76" s="171"/>
      <c r="C76" s="174">
        <f>TEKLİF!F37</f>
        <v>342767.98497840005</v>
      </c>
      <c r="D76" s="175"/>
      <c r="E76" s="149" t="s">
        <v>426</v>
      </c>
      <c r="F76" s="150">
        <f>IF(E76="ZMT'YE AİT",C76,0)</f>
        <v>342767.98497840005</v>
      </c>
    </row>
    <row r="77" spans="1:6" ht="35.1" customHeight="1" x14ac:dyDescent="0.25">
      <c r="A77" s="170" t="s">
        <v>414</v>
      </c>
      <c r="B77" s="171"/>
      <c r="C77" s="174">
        <f>TEKLİF!F53</f>
        <v>298366.87199999997</v>
      </c>
      <c r="D77" s="175"/>
      <c r="E77" s="149" t="s">
        <v>426</v>
      </c>
      <c r="F77" s="150">
        <f t="shared" ref="F77:F85" si="0">IF(E77="ZMT'YE AİT",C77,0)</f>
        <v>298366.87199999997</v>
      </c>
    </row>
    <row r="78" spans="1:6" ht="35.1" customHeight="1" x14ac:dyDescent="0.25">
      <c r="A78" s="170" t="s">
        <v>415</v>
      </c>
      <c r="B78" s="171"/>
      <c r="C78" s="174">
        <f>TEKLİF!F74</f>
        <v>78615.265878342776</v>
      </c>
      <c r="D78" s="175"/>
      <c r="E78" s="149" t="s">
        <v>426</v>
      </c>
      <c r="F78" s="150">
        <f t="shared" si="0"/>
        <v>78615.265878342776</v>
      </c>
    </row>
    <row r="79" spans="1:6" ht="35.1" customHeight="1" x14ac:dyDescent="0.25">
      <c r="A79" s="170" t="s">
        <v>416</v>
      </c>
      <c r="B79" s="171"/>
      <c r="C79" s="174">
        <f>TEKLİF!F95</f>
        <v>165634.9056</v>
      </c>
      <c r="D79" s="175"/>
      <c r="E79" s="149" t="s">
        <v>427</v>
      </c>
      <c r="F79" s="150">
        <f t="shared" si="0"/>
        <v>0</v>
      </c>
    </row>
    <row r="80" spans="1:6" ht="35.1" customHeight="1" x14ac:dyDescent="0.25">
      <c r="A80" s="170" t="s">
        <v>417</v>
      </c>
      <c r="B80" s="171"/>
      <c r="C80" s="174">
        <f>TEKLİF!F125</f>
        <v>34845.815699999999</v>
      </c>
      <c r="D80" s="175"/>
      <c r="E80" s="149" t="s">
        <v>426</v>
      </c>
      <c r="F80" s="150">
        <f t="shared" si="0"/>
        <v>34845.815699999999</v>
      </c>
    </row>
    <row r="81" spans="1:6" ht="35.1" customHeight="1" x14ac:dyDescent="0.25">
      <c r="A81" s="170" t="s">
        <v>418</v>
      </c>
      <c r="B81" s="171"/>
      <c r="C81" s="174">
        <f>TEKLİF!F135</f>
        <v>15185.940000000002</v>
      </c>
      <c r="D81" s="175"/>
      <c r="E81" s="149" t="s">
        <v>426</v>
      </c>
      <c r="F81" s="150">
        <f t="shared" si="0"/>
        <v>15185.940000000002</v>
      </c>
    </row>
    <row r="82" spans="1:6" ht="35.1" customHeight="1" x14ac:dyDescent="0.25">
      <c r="A82" s="170" t="s">
        <v>419</v>
      </c>
      <c r="B82" s="171"/>
      <c r="C82" s="174">
        <f>TEKLİF!F152</f>
        <v>75190.95065011199</v>
      </c>
      <c r="D82" s="175"/>
      <c r="E82" s="149" t="s">
        <v>426</v>
      </c>
      <c r="F82" s="150">
        <f t="shared" si="0"/>
        <v>75190.95065011199</v>
      </c>
    </row>
    <row r="83" spans="1:6" ht="35.1" customHeight="1" x14ac:dyDescent="0.25">
      <c r="A83" s="170" t="s">
        <v>420</v>
      </c>
      <c r="B83" s="171"/>
      <c r="C83" s="174">
        <f>TEKLİF!F193</f>
        <v>52706.235359999984</v>
      </c>
      <c r="D83" s="175"/>
      <c r="E83" s="149" t="s">
        <v>427</v>
      </c>
      <c r="F83" s="150">
        <f t="shared" si="0"/>
        <v>0</v>
      </c>
    </row>
    <row r="84" spans="1:6" ht="35.1" customHeight="1" x14ac:dyDescent="0.25">
      <c r="A84" s="170" t="s">
        <v>421</v>
      </c>
      <c r="B84" s="171"/>
      <c r="C84" s="174">
        <f>TEKLİF!F208</f>
        <v>7483.36744</v>
      </c>
      <c r="D84" s="175"/>
      <c r="E84" s="149" t="s">
        <v>426</v>
      </c>
      <c r="F84" s="150">
        <f t="shared" si="0"/>
        <v>7483.36744</v>
      </c>
    </row>
    <row r="85" spans="1:6" ht="35.1" customHeight="1" x14ac:dyDescent="0.25">
      <c r="A85" s="170" t="s">
        <v>422</v>
      </c>
      <c r="B85" s="171"/>
      <c r="C85" s="174">
        <f>TEKLİF!F221</f>
        <v>42678.408000000003</v>
      </c>
      <c r="D85" s="175"/>
      <c r="E85" s="149" t="s">
        <v>427</v>
      </c>
      <c r="F85" s="150">
        <f t="shared" si="0"/>
        <v>0</v>
      </c>
    </row>
    <row r="86" spans="1:6" ht="35.1" customHeight="1" x14ac:dyDescent="0.25">
      <c r="A86" s="172" t="s">
        <v>100</v>
      </c>
      <c r="B86" s="173"/>
      <c r="C86" s="153"/>
      <c r="D86" s="154"/>
      <c r="E86" s="155"/>
      <c r="F86" s="150">
        <f>SUM(F76:F85)</f>
        <v>852456.19664685475</v>
      </c>
    </row>
    <row r="87" spans="1:6" ht="35.1" customHeight="1" x14ac:dyDescent="0.25">
      <c r="A87" s="147" t="s">
        <v>87</v>
      </c>
      <c r="B87" s="148">
        <v>21</v>
      </c>
      <c r="C87" s="156"/>
      <c r="D87" s="157"/>
      <c r="E87" s="158"/>
      <c r="F87" s="150">
        <f>F86*B87/100</f>
        <v>179015.80129583951</v>
      </c>
    </row>
    <row r="88" spans="1:6" ht="35.1" customHeight="1" x14ac:dyDescent="0.25">
      <c r="A88" s="172" t="s">
        <v>88</v>
      </c>
      <c r="B88" s="173"/>
      <c r="C88" s="156"/>
      <c r="D88" s="157"/>
      <c r="E88" s="158"/>
      <c r="F88" s="150">
        <f>F86-F87</f>
        <v>673440.39535101526</v>
      </c>
    </row>
    <row r="89" spans="1:6" ht="35.1" customHeight="1" x14ac:dyDescent="0.25">
      <c r="A89" s="147" t="s">
        <v>115</v>
      </c>
      <c r="B89" s="148"/>
      <c r="C89" s="159"/>
      <c r="D89" s="160"/>
      <c r="E89" s="161"/>
      <c r="F89" s="150">
        <f>F88*B89/100</f>
        <v>0</v>
      </c>
    </row>
    <row r="90" spans="1:6" ht="75" customHeight="1" thickBot="1" x14ac:dyDescent="0.3">
      <c r="A90" s="162" t="s">
        <v>86</v>
      </c>
      <c r="B90" s="163"/>
      <c r="C90" s="164">
        <f>F89+F88</f>
        <v>673440.39535101526</v>
      </c>
      <c r="D90" s="164"/>
      <c r="E90" s="164"/>
      <c r="F90" s="165"/>
    </row>
    <row r="91" spans="1:6" ht="15.75" thickTop="1" x14ac:dyDescent="0.25"/>
  </sheetData>
  <mergeCells count="77">
    <mergeCell ref="B64:D64"/>
    <mergeCell ref="E61:F61"/>
    <mergeCell ref="E62:F62"/>
    <mergeCell ref="E64:F64"/>
    <mergeCell ref="B59:F59"/>
    <mergeCell ref="B60:D60"/>
    <mergeCell ref="E60:F60"/>
    <mergeCell ref="B61:D61"/>
    <mergeCell ref="B62:D62"/>
    <mergeCell ref="B25:E25"/>
    <mergeCell ref="B26:E26"/>
    <mergeCell ref="B28:E28"/>
    <mergeCell ref="A27:F27"/>
    <mergeCell ref="C46:F57"/>
    <mergeCell ref="A37:F37"/>
    <mergeCell ref="A44:F44"/>
    <mergeCell ref="A1:F1"/>
    <mergeCell ref="A14:A15"/>
    <mergeCell ref="B14:B15"/>
    <mergeCell ref="C45:F45"/>
    <mergeCell ref="B38:F38"/>
    <mergeCell ref="B39:F39"/>
    <mergeCell ref="B40:F40"/>
    <mergeCell ref="B41:F41"/>
    <mergeCell ref="B42:F42"/>
    <mergeCell ref="B43:F43"/>
    <mergeCell ref="B20:E20"/>
    <mergeCell ref="B21:E21"/>
    <mergeCell ref="B22:E22"/>
    <mergeCell ref="A19:F19"/>
    <mergeCell ref="E14:F14"/>
    <mergeCell ref="C14:D14"/>
    <mergeCell ref="A58:F58"/>
    <mergeCell ref="A65:F65"/>
    <mergeCell ref="D36:F36"/>
    <mergeCell ref="C2:D2"/>
    <mergeCell ref="E2:F2"/>
    <mergeCell ref="C3:D4"/>
    <mergeCell ref="E3:F4"/>
    <mergeCell ref="C5:F13"/>
    <mergeCell ref="B63:D63"/>
    <mergeCell ref="E63:F63"/>
    <mergeCell ref="C15:D18"/>
    <mergeCell ref="E15:F18"/>
    <mergeCell ref="B29:E29"/>
    <mergeCell ref="B30:E30"/>
    <mergeCell ref="B23:E23"/>
    <mergeCell ref="B24:E24"/>
    <mergeCell ref="A74:F74"/>
    <mergeCell ref="A76:B76"/>
    <mergeCell ref="A77:B77"/>
    <mergeCell ref="C75:D75"/>
    <mergeCell ref="C76:D76"/>
    <mergeCell ref="C77:D77"/>
    <mergeCell ref="C84:D84"/>
    <mergeCell ref="C85:D85"/>
    <mergeCell ref="C78:D78"/>
    <mergeCell ref="C79:D79"/>
    <mergeCell ref="C80:D80"/>
    <mergeCell ref="C81:D81"/>
    <mergeCell ref="C82:D82"/>
    <mergeCell ref="C86:E89"/>
    <mergeCell ref="A90:B90"/>
    <mergeCell ref="C90:F90"/>
    <mergeCell ref="A75:B75"/>
    <mergeCell ref="A59:A60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8:B88"/>
    <mergeCell ref="C83:D83"/>
  </mergeCells>
  <conditionalFormatting sqref="C46:F57">
    <cfRule type="cellIs" dxfId="2" priority="1" operator="equal">
      <formula>"ANTRASİT"</formula>
    </cfRule>
    <cfRule type="cellIs" dxfId="1" priority="2" operator="equal">
      <formula>"ALTINMEŞE"</formula>
    </cfRule>
    <cfRule type="cellIs" dxfId="0" priority="3" operator="equal">
      <formula>"BEYAZ"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6A3640-44D9-4D85-A5D4-C60CA9A21065}">
          <x14:formula1>
            <xm:f>İSİMLENDİRME!$A$45:$A$46</xm:f>
          </x14:formula1>
          <xm:sqref>B14:B15</xm:sqref>
        </x14:dataValidation>
        <x14:dataValidation type="list" allowBlank="1" showInputMessage="1" showErrorMessage="1" xr:uid="{D435E791-B96E-439E-B180-4BA1049BE9FD}">
          <x14:formula1>
            <xm:f>İSİMLENDİRME!$A$10:$A$12</xm:f>
          </x14:formula1>
          <xm:sqref>C46</xm:sqref>
        </x14:dataValidation>
        <x14:dataValidation type="list" allowBlank="1" showInputMessage="1" showErrorMessage="1" xr:uid="{EA2B0802-7CE1-469C-853A-C1E0F43D8DCF}">
          <x14:formula1>
            <xm:f>TEKLİF!$B$55:$B$57</xm:f>
          </x14:formula1>
          <xm:sqref>B13</xm:sqref>
        </x14:dataValidation>
        <x14:dataValidation type="list" allowBlank="1" showInputMessage="1" showErrorMessage="1" xr:uid="{90B80B95-806D-4428-AE8A-19075F419E5F}">
          <x14:formula1>
            <xm:f>İSİMLENDİRME!$P$19:$P$26</xm:f>
          </x14:formula1>
          <xm:sqref>B11</xm:sqref>
        </x14:dataValidation>
        <x14:dataValidation type="list" allowBlank="1" showInputMessage="1" showErrorMessage="1" xr:uid="{D56810A8-2ACF-4EBE-B905-2E0924332810}">
          <x14:formula1>
            <xm:f>İSİMLENDİRME!$A$34:$A$44</xm:f>
          </x14:formula1>
          <xm:sqref>E32:F35 D32:D35</xm:sqref>
        </x14:dataValidation>
        <x14:dataValidation type="list" allowBlank="1" showInputMessage="1" showErrorMessage="1" xr:uid="{98414B63-DD91-4149-8DD5-42D6159F2113}">
          <x14:formula1>
            <xm:f>İSİMLENDİRME!$G$45:$G$49</xm:f>
          </x14:formula1>
          <xm:sqref>C3:F4</xm:sqref>
        </x14:dataValidation>
        <x14:dataValidation type="list" allowBlank="1" showInputMessage="1" showErrorMessage="1" xr:uid="{F08BCFFB-32D3-4368-957F-7A334B981305}">
          <x14:formula1>
            <xm:f>İSİMLENDİRME!$I$28:$I$29</xm:f>
          </x14:formula1>
          <xm:sqref>B7</xm:sqref>
        </x14:dataValidation>
        <x14:dataValidation type="list" allowBlank="1" showInputMessage="1" showErrorMessage="1" xr:uid="{64D5F145-D821-4AD9-92AE-FA10AD09B75B}">
          <x14:formula1>
            <xm:f>İSİMLENDİRME!$L$32:$L$35</xm:f>
          </x14:formula1>
          <xm:sqref>B10</xm:sqref>
        </x14:dataValidation>
        <x14:dataValidation type="list" allowBlank="1" showInputMessage="1" showErrorMessage="1" xr:uid="{EAB511A8-12BA-4167-8A55-BBBC2E6E9A6D}">
          <x14:formula1>
            <xm:f>İSİMLENDİRME!$O$40:$O$41</xm:f>
          </x14:formula1>
          <xm:sqref>E76:E85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0"/>
  <sheetViews>
    <sheetView zoomScale="85" zoomScaleNormal="85" zoomScaleSheetLayoutView="85" workbookViewId="0">
      <selection activeCell="C4" sqref="C4:D4"/>
    </sheetView>
  </sheetViews>
  <sheetFormatPr defaultRowHeight="24.95" customHeight="1" x14ac:dyDescent="0.25"/>
  <cols>
    <col min="1" max="1" width="9.140625" style="14"/>
    <col min="2" max="2" width="63.85546875" customWidth="1"/>
    <col min="3" max="3" width="22.85546875" customWidth="1"/>
    <col min="4" max="4" width="14.85546875" customWidth="1"/>
    <col min="5" max="5" width="17.42578125" customWidth="1"/>
    <col min="6" max="6" width="19.140625" customWidth="1"/>
    <col min="7" max="7" width="11.85546875" customWidth="1"/>
    <col min="8" max="8" width="12" customWidth="1"/>
    <col min="9" max="13" width="19.140625" hidden="1" customWidth="1"/>
    <col min="14" max="14" width="9.140625" customWidth="1"/>
    <col min="15" max="15" width="10.42578125" customWidth="1"/>
    <col min="16" max="16" width="11" customWidth="1"/>
    <col min="17" max="18" width="9.140625" customWidth="1"/>
    <col min="19" max="19" width="12.85546875" customWidth="1"/>
    <col min="20" max="20" width="11.140625" customWidth="1"/>
    <col min="21" max="21" width="10.140625" customWidth="1"/>
    <col min="22" max="22" width="10.28515625" customWidth="1"/>
    <col min="23" max="23" width="11.7109375" customWidth="1"/>
    <col min="24" max="24" width="11.42578125" customWidth="1"/>
    <col min="25" max="25" width="11" customWidth="1"/>
  </cols>
  <sheetData>
    <row r="1" spans="1:16" ht="43.5" customHeight="1" x14ac:dyDescent="0.25">
      <c r="A1" s="248" t="s">
        <v>263</v>
      </c>
      <c r="B1" s="249"/>
      <c r="C1" s="58" t="s">
        <v>243</v>
      </c>
      <c r="D1" s="59">
        <v>46195</v>
      </c>
      <c r="E1" s="60" t="s">
        <v>318</v>
      </c>
      <c r="F1" s="61" t="s">
        <v>254</v>
      </c>
      <c r="G1" s="102" t="s">
        <v>286</v>
      </c>
      <c r="H1" s="103" t="s">
        <v>287</v>
      </c>
      <c r="I1" s="97" t="s">
        <v>311</v>
      </c>
      <c r="J1" s="97"/>
      <c r="K1" s="97" t="s">
        <v>312</v>
      </c>
      <c r="L1" s="97" t="s">
        <v>313</v>
      </c>
      <c r="M1" s="97" t="s">
        <v>314</v>
      </c>
      <c r="N1" s="103" t="s">
        <v>288</v>
      </c>
      <c r="O1" s="103" t="s">
        <v>307</v>
      </c>
      <c r="P1" s="98" t="s">
        <v>308</v>
      </c>
    </row>
    <row r="2" spans="1:16" ht="29.25" customHeight="1" thickBot="1" x14ac:dyDescent="0.3">
      <c r="A2" s="250" t="s">
        <v>17</v>
      </c>
      <c r="B2" s="251"/>
      <c r="C2" s="244"/>
      <c r="D2" s="245"/>
      <c r="E2" s="58" t="s">
        <v>244</v>
      </c>
      <c r="F2" s="62"/>
      <c r="G2" s="99">
        <v>48.1</v>
      </c>
      <c r="H2" s="100">
        <v>1.3</v>
      </c>
      <c r="I2" s="104"/>
      <c r="J2" s="104"/>
      <c r="K2" s="104"/>
      <c r="L2" s="104"/>
      <c r="M2" s="104"/>
      <c r="N2" s="100">
        <v>1.35</v>
      </c>
      <c r="O2" s="100">
        <v>0.9</v>
      </c>
      <c r="P2" s="101">
        <v>1.05</v>
      </c>
    </row>
    <row r="3" spans="1:16" ht="33" customHeight="1" x14ac:dyDescent="0.25">
      <c r="A3" s="242" t="s">
        <v>0</v>
      </c>
      <c r="B3" s="243"/>
      <c r="C3" s="244"/>
      <c r="D3" s="245"/>
      <c r="E3" s="58" t="s">
        <v>251</v>
      </c>
      <c r="F3" s="62">
        <v>2800</v>
      </c>
      <c r="I3" s="95"/>
      <c r="J3" s="95"/>
      <c r="K3" s="95"/>
      <c r="L3" s="95"/>
      <c r="M3" s="95"/>
    </row>
    <row r="4" spans="1:16" ht="30" customHeight="1" x14ac:dyDescent="0.25">
      <c r="A4" s="242" t="s">
        <v>245</v>
      </c>
      <c r="B4" s="243"/>
      <c r="C4" s="244"/>
      <c r="D4" s="245"/>
      <c r="E4" s="63" t="s">
        <v>246</v>
      </c>
      <c r="F4" s="64"/>
      <c r="G4" s="20"/>
      <c r="I4" s="95"/>
      <c r="J4" s="95"/>
      <c r="K4" s="95"/>
      <c r="L4" s="95"/>
      <c r="M4" s="95"/>
    </row>
    <row r="5" spans="1:16" ht="29.25" hidden="1" customHeight="1" x14ac:dyDescent="0.25">
      <c r="A5" s="242" t="s">
        <v>247</v>
      </c>
      <c r="B5" s="243"/>
      <c r="C5" s="244"/>
      <c r="D5" s="245"/>
      <c r="E5" s="63" t="s">
        <v>246</v>
      </c>
      <c r="F5" s="64"/>
      <c r="G5" s="20"/>
      <c r="I5" s="95"/>
      <c r="J5" s="95"/>
      <c r="K5" s="95"/>
      <c r="L5" s="95"/>
      <c r="M5" s="95"/>
    </row>
    <row r="6" spans="1:16" ht="29.25" hidden="1" customHeight="1" x14ac:dyDescent="0.25">
      <c r="A6" s="242" t="s">
        <v>248</v>
      </c>
      <c r="B6" s="243"/>
      <c r="C6" s="246"/>
      <c r="D6" s="247"/>
      <c r="E6" s="63" t="s">
        <v>246</v>
      </c>
      <c r="F6" s="64"/>
      <c r="G6" s="21"/>
      <c r="I6" s="95"/>
      <c r="J6" s="95"/>
      <c r="K6" s="95"/>
      <c r="L6" s="95"/>
      <c r="M6" s="95"/>
    </row>
    <row r="7" spans="1:16" ht="24.95" customHeight="1" x14ac:dyDescent="0.25">
      <c r="A7" s="242" t="s">
        <v>249</v>
      </c>
      <c r="B7" s="243"/>
      <c r="C7" s="246"/>
      <c r="D7" s="247"/>
      <c r="E7" s="63" t="s">
        <v>250</v>
      </c>
      <c r="F7" s="65"/>
      <c r="G7" s="21"/>
      <c r="I7" s="96"/>
      <c r="J7" s="96"/>
      <c r="K7" s="96"/>
      <c r="L7" s="96"/>
      <c r="M7" s="96"/>
    </row>
    <row r="8" spans="1:16" ht="24.95" customHeight="1" x14ac:dyDescent="0.25">
      <c r="A8" s="38"/>
      <c r="B8" s="1" t="s">
        <v>1</v>
      </c>
      <c r="C8" s="1" t="s">
        <v>2</v>
      </c>
      <c r="D8" s="1" t="s">
        <v>3</v>
      </c>
      <c r="E8" s="1" t="s">
        <v>4</v>
      </c>
      <c r="F8" s="39" t="s">
        <v>5</v>
      </c>
      <c r="G8" s="23"/>
      <c r="I8" s="39" t="s">
        <v>5</v>
      </c>
      <c r="J8" s="39" t="s">
        <v>5</v>
      </c>
      <c r="K8" s="39" t="s">
        <v>5</v>
      </c>
      <c r="L8" s="39" t="s">
        <v>5</v>
      </c>
      <c r="M8" s="39" t="s">
        <v>5</v>
      </c>
    </row>
    <row r="9" spans="1:16" ht="24.95" customHeight="1" x14ac:dyDescent="0.25">
      <c r="A9" s="254" t="s">
        <v>151</v>
      </c>
      <c r="B9" s="255"/>
      <c r="C9" s="73"/>
      <c r="D9" s="74">
        <v>1001</v>
      </c>
      <c r="E9" s="75"/>
      <c r="F9" s="76"/>
      <c r="G9" s="24"/>
      <c r="I9" s="76"/>
      <c r="J9" s="76"/>
      <c r="K9" s="76"/>
      <c r="L9" s="76"/>
      <c r="M9" s="76"/>
    </row>
    <row r="10" spans="1:16" ht="24.95" customHeight="1" x14ac:dyDescent="0.25">
      <c r="A10" s="40">
        <v>1</v>
      </c>
      <c r="B10" s="6" t="s">
        <v>256</v>
      </c>
      <c r="C10" s="5" t="s">
        <v>120</v>
      </c>
      <c r="D10" s="3">
        <f>'BİNA BİLGİLERİ'!B2*'BİNA BİLGİLERİ'!B3</f>
        <v>3360</v>
      </c>
      <c r="E10" s="94">
        <f>H2*G2*1.6</f>
        <v>100.048</v>
      </c>
      <c r="F10" s="28">
        <f>D10*E10</f>
        <v>336161.28000000003</v>
      </c>
      <c r="G10" s="19"/>
      <c r="I10" s="28">
        <f>G2*O2</f>
        <v>43.29</v>
      </c>
      <c r="J10" s="28">
        <f>I10*D10</f>
        <v>145454.39999999999</v>
      </c>
      <c r="K10" s="28">
        <f>I10*1.2</f>
        <v>51.948</v>
      </c>
      <c r="L10" s="28">
        <f>E10-E10*$E$223/100</f>
        <v>75.036000000000001</v>
      </c>
      <c r="M10" s="86">
        <f>(L10-K10)/K10</f>
        <v>0.44444444444444448</v>
      </c>
    </row>
    <row r="11" spans="1:16" ht="24.95" customHeight="1" x14ac:dyDescent="0.25">
      <c r="A11" s="29"/>
      <c r="B11" s="7"/>
      <c r="C11" s="37"/>
      <c r="D11" s="30" t="s">
        <v>302</v>
      </c>
      <c r="E11" s="8"/>
      <c r="F11" s="31"/>
      <c r="G11" s="19"/>
      <c r="I11" s="31"/>
      <c r="J11" s="31"/>
      <c r="K11" s="31"/>
      <c r="L11" s="31"/>
      <c r="M11" s="87"/>
    </row>
    <row r="12" spans="1:16" ht="24.95" customHeight="1" x14ac:dyDescent="0.25">
      <c r="A12" s="40">
        <v>2</v>
      </c>
      <c r="B12" s="5" t="s">
        <v>210</v>
      </c>
      <c r="C12" s="6" t="s">
        <v>258</v>
      </c>
      <c r="D12" s="3">
        <f>IF('BİNA BİLGİLERİ'!B14="AŞIK OMEGA",ROUNDUP('BİNA BİLGİLERİ'!B17/2.5,0),0)</f>
        <v>0</v>
      </c>
      <c r="E12" s="16">
        <f>K12*1.73</f>
        <v>647.96298839999997</v>
      </c>
      <c r="F12" s="33">
        <f>E12*D12</f>
        <v>0</v>
      </c>
      <c r="I12" s="33">
        <f>7.21*O2*G2</f>
        <v>312.12090000000001</v>
      </c>
      <c r="J12" s="28">
        <f>I12*D12</f>
        <v>0</v>
      </c>
      <c r="K12" s="28">
        <f>I12*1.2</f>
        <v>374.54507999999998</v>
      </c>
      <c r="L12" s="28">
        <f>E12-E12*$E$223/100</f>
        <v>485.97224129999995</v>
      </c>
      <c r="M12" s="86">
        <f>(L12-K12)/K12</f>
        <v>0.29749999999999993</v>
      </c>
    </row>
    <row r="13" spans="1:16" ht="24.95" customHeight="1" x14ac:dyDescent="0.25">
      <c r="A13" s="40">
        <v>3</v>
      </c>
      <c r="B13" s="2" t="s">
        <v>122</v>
      </c>
      <c r="C13" s="4" t="s">
        <v>116</v>
      </c>
      <c r="D13" s="3">
        <f>IF('BİNA BİLGİLERİ'!B14="AŞIK OMEGA",ROUNDUP('BİNA BİLGİLERİ'!B18/2.5,0),0)</f>
        <v>0</v>
      </c>
      <c r="E13" s="16">
        <f>K13*1.73</f>
        <v>220.18159799999998</v>
      </c>
      <c r="F13" s="33">
        <f>E13*D13</f>
        <v>0</v>
      </c>
      <c r="I13" s="33">
        <f>2.1*P2*$G$2</f>
        <v>106.0605</v>
      </c>
      <c r="J13" s="28">
        <f>I13*D13</f>
        <v>0</v>
      </c>
      <c r="K13" s="28">
        <f>I13*1.2</f>
        <v>127.2726</v>
      </c>
      <c r="L13" s="28">
        <f>E13-E13*$E$223/100</f>
        <v>165.13619849999998</v>
      </c>
      <c r="M13" s="86">
        <f>(L13-K13)/K13</f>
        <v>0.29749999999999988</v>
      </c>
    </row>
    <row r="14" spans="1:16" ht="24.95" customHeight="1" x14ac:dyDescent="0.25">
      <c r="A14" s="40">
        <v>4</v>
      </c>
      <c r="B14" s="2" t="s">
        <v>124</v>
      </c>
      <c r="C14" s="4" t="s">
        <v>125</v>
      </c>
      <c r="D14" s="3">
        <f>IF('BİNA BİLGİLERİ'!B14="AŞIK OMEGA",ROUNDUP('BİNA BİLGİLERİ'!B18/2.5,0),0)</f>
        <v>0</v>
      </c>
      <c r="E14" s="16">
        <f>K14*1.73</f>
        <v>197.71408800000003</v>
      </c>
      <c r="F14" s="33">
        <f>E14*D14</f>
        <v>0</v>
      </c>
      <c r="I14" s="33">
        <f>2.2*O2*G2</f>
        <v>95.238000000000014</v>
      </c>
      <c r="J14" s="28">
        <f>I14*D14</f>
        <v>0</v>
      </c>
      <c r="K14" s="28">
        <f>I14*1.2</f>
        <v>114.28560000000002</v>
      </c>
      <c r="L14" s="28">
        <f>E14-E14*$E$223/100</f>
        <v>148.28556600000002</v>
      </c>
      <c r="M14" s="86">
        <f>(L14-K14)/K14</f>
        <v>0.29749999999999999</v>
      </c>
    </row>
    <row r="15" spans="1:16" ht="24.95" customHeight="1" x14ac:dyDescent="0.25">
      <c r="A15" s="29"/>
      <c r="B15" s="7"/>
      <c r="C15" s="37"/>
      <c r="D15" s="30" t="s">
        <v>302</v>
      </c>
      <c r="E15" s="8"/>
      <c r="F15" s="31"/>
      <c r="G15" s="19"/>
      <c r="I15" s="31"/>
      <c r="J15" s="31"/>
      <c r="K15" s="31"/>
      <c r="L15" s="31"/>
      <c r="M15" s="87"/>
    </row>
    <row r="16" spans="1:16" ht="24.95" customHeight="1" x14ac:dyDescent="0.25">
      <c r="A16" s="40">
        <v>5</v>
      </c>
      <c r="B16" s="2" t="s">
        <v>12</v>
      </c>
      <c r="C16" s="4" t="s">
        <v>13</v>
      </c>
      <c r="D16" s="3">
        <f>IF('BİNA BİLGİLERİ'!B2&lt;50,3,IF('BİNA BİLGİLERİ'!B2&lt;150,5,IF('BİNA BİLGİLERİ'!B2&lt;250,7,10)))</f>
        <v>5</v>
      </c>
      <c r="E16" s="16">
        <f>K16*1.73</f>
        <v>84.657577680000003</v>
      </c>
      <c r="F16" s="33">
        <f>E16*D16</f>
        <v>423.28788840000004</v>
      </c>
      <c r="I16" s="33">
        <f>0.942*O2*G2</f>
        <v>40.779180000000004</v>
      </c>
      <c r="J16" s="28">
        <f>I16*D16</f>
        <v>203.89590000000001</v>
      </c>
      <c r="K16" s="28">
        <f>I16*1.2</f>
        <v>48.935016000000005</v>
      </c>
      <c r="L16" s="28">
        <f>E16-E16*$E$223/100</f>
        <v>63.493183260000009</v>
      </c>
      <c r="M16" s="86">
        <f>(L16-K16)/K16</f>
        <v>0.29750000000000004</v>
      </c>
    </row>
    <row r="17" spans="1:13" ht="24.95" customHeight="1" x14ac:dyDescent="0.25">
      <c r="A17" s="40">
        <v>6</v>
      </c>
      <c r="B17" s="2" t="s">
        <v>12</v>
      </c>
      <c r="C17" s="4" t="s">
        <v>14</v>
      </c>
      <c r="D17" s="3">
        <f>IF('BİNA BİLGİLERİ'!B2&lt;50,3,IF('BİNA BİLGİLERİ'!B2&lt;150,5,IF('BİNA BİLGİLERİ'!B2&lt;250,7,10)))</f>
        <v>5</v>
      </c>
      <c r="E17" s="16">
        <f>K17*1.73</f>
        <v>141.0959628</v>
      </c>
      <c r="F17" s="33">
        <f>E17*D17</f>
        <v>705.47981400000003</v>
      </c>
      <c r="G17" s="19"/>
      <c r="I17" s="33">
        <f>1.57*O2*G2</f>
        <v>67.965299999999999</v>
      </c>
      <c r="J17" s="28">
        <f>I17*D17</f>
        <v>339.82650000000001</v>
      </c>
      <c r="K17" s="28">
        <f>I17*1.2</f>
        <v>81.558359999999993</v>
      </c>
      <c r="L17" s="28">
        <f>E17-E17*$E$223/100</f>
        <v>105.8219721</v>
      </c>
      <c r="M17" s="86">
        <f>(L17-K17)/K17</f>
        <v>0.29750000000000004</v>
      </c>
    </row>
    <row r="18" spans="1:13" ht="24.95" customHeight="1" x14ac:dyDescent="0.25">
      <c r="A18" s="40">
        <v>7</v>
      </c>
      <c r="B18" s="2" t="s">
        <v>202</v>
      </c>
      <c r="C18" s="4" t="s">
        <v>111</v>
      </c>
      <c r="D18" s="110"/>
      <c r="E18" s="16">
        <f>K18*1.73</f>
        <v>359.48016000000001</v>
      </c>
      <c r="F18" s="33">
        <f>E18*D18</f>
        <v>0</v>
      </c>
      <c r="I18" s="33">
        <f>4*O2*G2</f>
        <v>173.16</v>
      </c>
      <c r="J18" s="28">
        <f>I18*D18</f>
        <v>0</v>
      </c>
      <c r="K18" s="28">
        <f>I18*1.2</f>
        <v>207.792</v>
      </c>
      <c r="L18" s="28">
        <f>E18-E18*$E$223/100</f>
        <v>269.61011999999999</v>
      </c>
      <c r="M18" s="86">
        <f>(L18-K18)/K18</f>
        <v>0.29749999999999999</v>
      </c>
    </row>
    <row r="19" spans="1:13" ht="24.95" customHeight="1" x14ac:dyDescent="0.25">
      <c r="A19" s="29"/>
      <c r="B19" s="7"/>
      <c r="C19" s="37"/>
      <c r="D19" s="30" t="s">
        <v>302</v>
      </c>
      <c r="E19" s="8"/>
      <c r="F19" s="31"/>
      <c r="I19" s="31"/>
      <c r="J19" s="31"/>
      <c r="K19" s="31"/>
      <c r="L19" s="31"/>
      <c r="M19" s="87"/>
    </row>
    <row r="20" spans="1:13" ht="24.95" customHeight="1" x14ac:dyDescent="0.25">
      <c r="A20" s="40">
        <v>8</v>
      </c>
      <c r="B20" s="5" t="s">
        <v>272</v>
      </c>
      <c r="C20" s="6" t="s">
        <v>121</v>
      </c>
      <c r="D20" s="17">
        <f>ROUNDUP('BİNA BİLGİLERİ'!B32/2,0)</f>
        <v>20</v>
      </c>
      <c r="E20" s="16">
        <f>K20*4</f>
        <v>168</v>
      </c>
      <c r="F20" s="33">
        <f>E20*D20</f>
        <v>3360</v>
      </c>
      <c r="I20" s="33">
        <v>35</v>
      </c>
      <c r="J20" s="28">
        <f>I20*D20</f>
        <v>700</v>
      </c>
      <c r="K20" s="28">
        <f>I20*1.2</f>
        <v>42</v>
      </c>
      <c r="L20" s="28">
        <f>E20-E20*$E$223/100</f>
        <v>126</v>
      </c>
      <c r="M20" s="86">
        <f>(L20-K20)/K20</f>
        <v>2</v>
      </c>
    </row>
    <row r="21" spans="1:13" ht="24.95" customHeight="1" x14ac:dyDescent="0.25">
      <c r="A21" s="40">
        <v>9</v>
      </c>
      <c r="B21" s="5" t="s">
        <v>261</v>
      </c>
      <c r="C21" s="6" t="s">
        <v>262</v>
      </c>
      <c r="D21" s="114"/>
      <c r="E21" s="16">
        <f>K21*1.73</f>
        <v>319.70399999999995</v>
      </c>
      <c r="F21" s="33">
        <f>E21*D21</f>
        <v>0</v>
      </c>
      <c r="I21" s="33">
        <v>154</v>
      </c>
      <c r="J21" s="28">
        <f>I21*D21</f>
        <v>0</v>
      </c>
      <c r="K21" s="28">
        <f>I21*1.2</f>
        <v>184.79999999999998</v>
      </c>
      <c r="L21" s="28">
        <f>E21-E21*$E$223/100</f>
        <v>239.77799999999996</v>
      </c>
      <c r="M21" s="86">
        <f>(L21-K21)/K21</f>
        <v>0.29749999999999993</v>
      </c>
    </row>
    <row r="22" spans="1:13" ht="24.95" customHeight="1" x14ac:dyDescent="0.25">
      <c r="A22" s="40">
        <v>10</v>
      </c>
      <c r="B22" s="2" t="s">
        <v>123</v>
      </c>
      <c r="C22" s="4" t="s">
        <v>89</v>
      </c>
      <c r="D22" s="3">
        <f>'BİNA BİLGİLERİ'!C61</f>
        <v>0</v>
      </c>
      <c r="E22" s="16">
        <f>K22*1.73</f>
        <v>665.03829599999995</v>
      </c>
      <c r="F22" s="33">
        <f>E22*D22</f>
        <v>0</v>
      </c>
      <c r="I22" s="33">
        <f>7.4*O2*G2</f>
        <v>320.346</v>
      </c>
      <c r="J22" s="28">
        <f>I22*D22</f>
        <v>0</v>
      </c>
      <c r="K22" s="28">
        <f>I22*1.2</f>
        <v>384.41519999999997</v>
      </c>
      <c r="L22" s="28">
        <f>E22-E22*$E$223/100</f>
        <v>498.77872199999996</v>
      </c>
      <c r="M22" s="86">
        <f>(L22-K22)/K22</f>
        <v>0.29749999999999999</v>
      </c>
    </row>
    <row r="23" spans="1:13" ht="24.95" customHeight="1" x14ac:dyDescent="0.25">
      <c r="A23" s="29"/>
      <c r="B23" s="7"/>
      <c r="C23" s="37"/>
      <c r="D23" s="30" t="s">
        <v>302</v>
      </c>
      <c r="E23" s="8"/>
      <c r="F23" s="31"/>
      <c r="I23" s="31"/>
      <c r="J23" s="31"/>
      <c r="K23" s="31"/>
      <c r="L23" s="31"/>
      <c r="M23" s="87"/>
    </row>
    <row r="24" spans="1:13" ht="24.95" customHeight="1" x14ac:dyDescent="0.25">
      <c r="A24" s="40">
        <v>11</v>
      </c>
      <c r="B24" s="5" t="s">
        <v>97</v>
      </c>
      <c r="C24" s="5" t="s">
        <v>11</v>
      </c>
      <c r="D24" s="3">
        <f>'BİNA BİLGİLERİ'!B21</f>
        <v>0</v>
      </c>
      <c r="E24" s="16">
        <f t="shared" ref="E24:E29" si="0">K24*1.73</f>
        <v>808.83035999999993</v>
      </c>
      <c r="F24" s="33">
        <f t="shared" ref="F24:F29" si="1">E24*D24</f>
        <v>0</v>
      </c>
      <c r="G24" s="22"/>
      <c r="I24" s="33">
        <f>9*O2*$G$2</f>
        <v>389.61</v>
      </c>
      <c r="J24" s="28">
        <f t="shared" ref="J24:J29" si="2">I24*D24</f>
        <v>0</v>
      </c>
      <c r="K24" s="28">
        <f t="shared" ref="K24:K29" si="3">I24*1.2</f>
        <v>467.53199999999998</v>
      </c>
      <c r="L24" s="28">
        <f t="shared" ref="L24:L29" si="4">E24-E24*$E$223/100</f>
        <v>606.62276999999995</v>
      </c>
      <c r="M24" s="86">
        <f t="shared" ref="M24:M29" si="5">(L24-K24)/K24</f>
        <v>0.29749999999999993</v>
      </c>
    </row>
    <row r="25" spans="1:13" ht="24.95" customHeight="1" x14ac:dyDescent="0.25">
      <c r="A25" s="40">
        <v>12</v>
      </c>
      <c r="B25" s="5" t="s">
        <v>306</v>
      </c>
      <c r="C25" s="5" t="s">
        <v>15</v>
      </c>
      <c r="D25" s="3">
        <f>'BİNA BİLGİLERİ'!B22</f>
        <v>0</v>
      </c>
      <c r="E25" s="16">
        <f t="shared" si="0"/>
        <v>471.81771000000003</v>
      </c>
      <c r="F25" s="33">
        <f t="shared" si="1"/>
        <v>0</v>
      </c>
      <c r="I25" s="33">
        <f>4.5*P2*$G$2</f>
        <v>227.27250000000004</v>
      </c>
      <c r="J25" s="28">
        <f t="shared" si="2"/>
        <v>0</v>
      </c>
      <c r="K25" s="28">
        <f t="shared" si="3"/>
        <v>272.72700000000003</v>
      </c>
      <c r="L25" s="28">
        <f t="shared" si="4"/>
        <v>353.86328250000003</v>
      </c>
      <c r="M25" s="86">
        <f t="shared" si="5"/>
        <v>0.29749999999999993</v>
      </c>
    </row>
    <row r="26" spans="1:13" ht="24.95" customHeight="1" x14ac:dyDescent="0.25">
      <c r="A26" s="40">
        <v>13</v>
      </c>
      <c r="B26" s="5" t="s">
        <v>303</v>
      </c>
      <c r="C26" s="10" t="s">
        <v>15</v>
      </c>
      <c r="D26" s="3">
        <f>'BİNA BİLGİLERİ'!B23</f>
        <v>4</v>
      </c>
      <c r="E26" s="16">
        <f t="shared" si="0"/>
        <v>529.48431899999991</v>
      </c>
      <c r="F26" s="33">
        <f t="shared" si="1"/>
        <v>2117.9372759999997</v>
      </c>
      <c r="I26" s="33">
        <f>5.05*P2*$G$2</f>
        <v>255.05025000000001</v>
      </c>
      <c r="J26" s="28">
        <f t="shared" si="2"/>
        <v>1020.201</v>
      </c>
      <c r="K26" s="28">
        <f t="shared" si="3"/>
        <v>306.06029999999998</v>
      </c>
      <c r="L26" s="28">
        <f t="shared" si="4"/>
        <v>397.11323924999994</v>
      </c>
      <c r="M26" s="86">
        <f t="shared" si="5"/>
        <v>0.29749999999999988</v>
      </c>
    </row>
    <row r="27" spans="1:13" ht="24.95" customHeight="1" x14ac:dyDescent="0.25">
      <c r="A27" s="40">
        <v>14</v>
      </c>
      <c r="B27" s="2" t="s">
        <v>304</v>
      </c>
      <c r="C27" s="4" t="s">
        <v>16</v>
      </c>
      <c r="D27" s="3">
        <f>'BİNA BİLGİLERİ'!B24</f>
        <v>0</v>
      </c>
      <c r="E27" s="16">
        <f t="shared" si="0"/>
        <v>92.581119540000003</v>
      </c>
      <c r="F27" s="33">
        <f t="shared" si="1"/>
        <v>0</v>
      </c>
      <c r="G27" s="25"/>
      <c r="I27" s="33">
        <f>0.883*P2*$G$2</f>
        <v>44.595915000000005</v>
      </c>
      <c r="J27" s="28">
        <f t="shared" si="2"/>
        <v>0</v>
      </c>
      <c r="K27" s="28">
        <f t="shared" si="3"/>
        <v>53.515098000000002</v>
      </c>
      <c r="L27" s="28">
        <f t="shared" si="4"/>
        <v>69.435839654999995</v>
      </c>
      <c r="M27" s="86">
        <f t="shared" si="5"/>
        <v>0.29749999999999988</v>
      </c>
    </row>
    <row r="28" spans="1:13" ht="24.95" customHeight="1" x14ac:dyDescent="0.25">
      <c r="A28" s="40">
        <v>15</v>
      </c>
      <c r="B28" s="2" t="s">
        <v>305</v>
      </c>
      <c r="C28" s="4" t="s">
        <v>10</v>
      </c>
      <c r="D28" s="3">
        <f>'BİNA BİLGİLERİ'!B25</f>
        <v>0</v>
      </c>
      <c r="E28" s="16">
        <f t="shared" si="0"/>
        <v>314.54514</v>
      </c>
      <c r="F28" s="33">
        <f t="shared" si="1"/>
        <v>0</v>
      </c>
      <c r="I28" s="33">
        <f>3*P2*$G$2</f>
        <v>151.51500000000001</v>
      </c>
      <c r="J28" s="28">
        <f t="shared" si="2"/>
        <v>0</v>
      </c>
      <c r="K28" s="28">
        <f t="shared" si="3"/>
        <v>181.81800000000001</v>
      </c>
      <c r="L28" s="28">
        <f t="shared" si="4"/>
        <v>235.90885500000002</v>
      </c>
      <c r="M28" s="86">
        <f t="shared" si="5"/>
        <v>0.29749999999999999</v>
      </c>
    </row>
    <row r="29" spans="1:13" ht="24.95" customHeight="1" x14ac:dyDescent="0.25">
      <c r="A29" s="40">
        <v>16</v>
      </c>
      <c r="B29" s="5" t="s">
        <v>28</v>
      </c>
      <c r="C29" s="5" t="s">
        <v>11</v>
      </c>
      <c r="D29" s="3">
        <f>'BİNA BİLGİLERİ'!B26</f>
        <v>0</v>
      </c>
      <c r="E29" s="16">
        <f t="shared" si="0"/>
        <v>134.80506</v>
      </c>
      <c r="F29" s="33">
        <f t="shared" si="1"/>
        <v>0</v>
      </c>
      <c r="I29" s="33">
        <f>1.5*O2*$G$2</f>
        <v>64.935000000000002</v>
      </c>
      <c r="J29" s="28">
        <f t="shared" si="2"/>
        <v>0</v>
      </c>
      <c r="K29" s="28">
        <f t="shared" si="3"/>
        <v>77.921999999999997</v>
      </c>
      <c r="L29" s="28">
        <f t="shared" si="4"/>
        <v>101.10379499999999</v>
      </c>
      <c r="M29" s="86">
        <f t="shared" si="5"/>
        <v>0.29749999999999993</v>
      </c>
    </row>
    <row r="30" spans="1:13" ht="24.95" customHeight="1" x14ac:dyDescent="0.25">
      <c r="A30" s="29"/>
      <c r="B30" s="7"/>
      <c r="C30" s="37"/>
      <c r="D30" s="30" t="s">
        <v>302</v>
      </c>
      <c r="E30" s="8"/>
      <c r="F30" s="31"/>
      <c r="I30" s="31"/>
      <c r="J30" s="31"/>
      <c r="K30" s="31"/>
      <c r="L30" s="31"/>
      <c r="M30" s="87"/>
    </row>
    <row r="31" spans="1:13" ht="24.95" customHeight="1" x14ac:dyDescent="0.25">
      <c r="A31" s="40">
        <v>17</v>
      </c>
      <c r="B31" s="34" t="s">
        <v>6</v>
      </c>
      <c r="C31" s="6" t="s">
        <v>7</v>
      </c>
      <c r="D31" s="3">
        <f>ROUNDUP(IF('BİNA BİLGİLERİ'!B7=2,((('BİNA BİLGİLERİ'!B5/0.62)+1)*'BİNA BİLGİLERİ'!B6)/2.5,0)+IF('BİNA BİLGİLERİ'!B14="AŞIK OMEGA",'BİNA BİLGİLERİ'!D15,0),0)</f>
        <v>0</v>
      </c>
      <c r="E31" s="16">
        <f>K31*1.73</f>
        <v>247.14260999999999</v>
      </c>
      <c r="F31" s="33">
        <f>E31*D31</f>
        <v>0</v>
      </c>
      <c r="G31" s="19"/>
      <c r="I31" s="33">
        <f>2.75*O2*$G$2</f>
        <v>119.04750000000001</v>
      </c>
      <c r="J31" s="28">
        <f>I31*D31</f>
        <v>0</v>
      </c>
      <c r="K31" s="28">
        <f>I31*1.2</f>
        <v>142.857</v>
      </c>
      <c r="L31" s="28">
        <f>E31-E31*$E$223/100</f>
        <v>185.35695749999999</v>
      </c>
      <c r="M31" s="86">
        <f>(L31-K31)/K31</f>
        <v>0.29749999999999993</v>
      </c>
    </row>
    <row r="32" spans="1:13" ht="24.95" customHeight="1" x14ac:dyDescent="0.25">
      <c r="A32" s="40">
        <v>18</v>
      </c>
      <c r="B32" s="34" t="s">
        <v>6</v>
      </c>
      <c r="C32" s="6" t="s">
        <v>8</v>
      </c>
      <c r="D32" s="110"/>
      <c r="E32" s="16">
        <f>K32*1.73</f>
        <v>370.26456480000002</v>
      </c>
      <c r="F32" s="33">
        <f>E32*D32</f>
        <v>0</v>
      </c>
      <c r="I32" s="33">
        <f>4.12*O2*$G$2</f>
        <v>178.35480000000001</v>
      </c>
      <c r="J32" s="28">
        <f>I32*D32</f>
        <v>0</v>
      </c>
      <c r="K32" s="28">
        <f>I32*1.2</f>
        <v>214.02576000000002</v>
      </c>
      <c r="L32" s="28">
        <f>E32-E32*$E$223/100</f>
        <v>277.69842360000001</v>
      </c>
      <c r="M32" s="86">
        <f>(L32-K32)/K32</f>
        <v>0.29749999999999993</v>
      </c>
    </row>
    <row r="33" spans="1:13" ht="24.95" customHeight="1" x14ac:dyDescent="0.25">
      <c r="A33" s="40">
        <v>19</v>
      </c>
      <c r="B33" s="34" t="s">
        <v>6</v>
      </c>
      <c r="C33" s="6" t="s">
        <v>9</v>
      </c>
      <c r="D33" s="110"/>
      <c r="E33" s="16">
        <f>K33*1.73</f>
        <v>494.28521999999998</v>
      </c>
      <c r="F33" s="33">
        <f>E33*D33</f>
        <v>0</v>
      </c>
      <c r="I33" s="33">
        <f>5.5*O2*$G$2</f>
        <v>238.09500000000003</v>
      </c>
      <c r="J33" s="28">
        <f>I33*D33</f>
        <v>0</v>
      </c>
      <c r="K33" s="28">
        <f>I33*1.2</f>
        <v>285.714</v>
      </c>
      <c r="L33" s="28">
        <f>E33-E33*$E$223/100</f>
        <v>370.71391499999999</v>
      </c>
      <c r="M33" s="86">
        <f>(L33-K33)/K33</f>
        <v>0.29749999999999993</v>
      </c>
    </row>
    <row r="34" spans="1:13" ht="24.95" customHeight="1" x14ac:dyDescent="0.25">
      <c r="A34" s="29"/>
      <c r="B34" s="7"/>
      <c r="C34" s="37"/>
      <c r="D34" s="30" t="s">
        <v>302</v>
      </c>
      <c r="E34" s="8"/>
      <c r="F34" s="31"/>
      <c r="G34" s="19"/>
      <c r="I34" s="31"/>
      <c r="J34" s="31"/>
      <c r="K34" s="31"/>
      <c r="L34" s="31"/>
      <c r="M34" s="87"/>
    </row>
    <row r="35" spans="1:13" ht="24.95" customHeight="1" x14ac:dyDescent="0.25">
      <c r="A35" s="40">
        <v>20</v>
      </c>
      <c r="B35" s="5" t="s">
        <v>205</v>
      </c>
      <c r="C35" s="6" t="s">
        <v>113</v>
      </c>
      <c r="D35" s="111"/>
      <c r="E35" s="94">
        <f>3.5*O2*1.2*$G$2*1.73</f>
        <v>314.54513999999995</v>
      </c>
      <c r="F35" s="33">
        <f>E35*D35</f>
        <v>0</v>
      </c>
      <c r="G35" s="19"/>
      <c r="I35" s="33">
        <f>3.5*O2*$G$2</f>
        <v>151.51499999999999</v>
      </c>
      <c r="J35" s="28">
        <f>I35*D35</f>
        <v>0</v>
      </c>
      <c r="K35" s="28">
        <f>I35*1.2</f>
        <v>181.81799999999998</v>
      </c>
      <c r="L35" s="28">
        <f>E35-E35*$E$223/100</f>
        <v>235.90885499999996</v>
      </c>
      <c r="M35" s="86">
        <f>(L35-K35)/K35</f>
        <v>0.29749999999999988</v>
      </c>
    </row>
    <row r="36" spans="1:13" ht="24.95" customHeight="1" x14ac:dyDescent="0.25">
      <c r="A36" s="40">
        <v>21</v>
      </c>
      <c r="B36" s="5" t="s">
        <v>205</v>
      </c>
      <c r="C36" s="6" t="s">
        <v>23</v>
      </c>
      <c r="D36" s="9">
        <f>IF('BİNA BİLGİLERİ'!B14="AŞIK OMEGA",'BİNA BİLGİLERİ'!C15,0)</f>
        <v>0</v>
      </c>
      <c r="E36" s="94">
        <f>2.5*O2*1.2*$G$2*1.73</f>
        <v>224.67510000000001</v>
      </c>
      <c r="F36" s="33">
        <f>E36*D36</f>
        <v>0</v>
      </c>
      <c r="G36" s="19"/>
      <c r="I36" s="33">
        <f>2.5*O2*$G$2</f>
        <v>108.22500000000001</v>
      </c>
      <c r="J36" s="28">
        <f>I36*D36</f>
        <v>0</v>
      </c>
      <c r="K36" s="28">
        <f>I36*1.2</f>
        <v>129.87</v>
      </c>
      <c r="L36" s="28">
        <f>E36-E36*$E$223/100</f>
        <v>168.506325</v>
      </c>
      <c r="M36" s="86">
        <f>(L36-K36)/K36</f>
        <v>0.29749999999999999</v>
      </c>
    </row>
    <row r="37" spans="1:13" ht="24.95" customHeight="1" x14ac:dyDescent="0.25">
      <c r="A37" s="256"/>
      <c r="B37" s="257"/>
      <c r="C37" s="258"/>
      <c r="D37" s="66" t="s">
        <v>5</v>
      </c>
      <c r="E37" s="67"/>
      <c r="F37" s="68">
        <f>SUM(F10:F36)</f>
        <v>342767.98497840005</v>
      </c>
      <c r="G37" s="19"/>
      <c r="I37" s="68">
        <f>SUM(I10:I36)</f>
        <v>3276.1758449999998</v>
      </c>
      <c r="J37" s="68">
        <f>SUM(J10:J36)</f>
        <v>147718.32339999999</v>
      </c>
      <c r="K37" s="68">
        <f>SUM(K10:K36)</f>
        <v>3931.4110139999993</v>
      </c>
      <c r="L37" s="68">
        <f>SUM(L10:L36)</f>
        <v>5180.1442606649998</v>
      </c>
      <c r="M37" s="88"/>
    </row>
    <row r="38" spans="1:13" ht="24.95" customHeight="1" x14ac:dyDescent="0.25">
      <c r="A38" s="254" t="s">
        <v>149</v>
      </c>
      <c r="B38" s="255"/>
      <c r="C38" s="73"/>
      <c r="D38" s="74">
        <v>1002</v>
      </c>
      <c r="E38" s="75"/>
      <c r="F38" s="76"/>
      <c r="G38" s="19"/>
      <c r="I38" s="76"/>
      <c r="J38" s="76"/>
      <c r="K38" s="76"/>
      <c r="L38" s="76"/>
      <c r="M38" s="89"/>
    </row>
    <row r="39" spans="1:13" ht="24.95" customHeight="1" x14ac:dyDescent="0.25">
      <c r="A39" s="27">
        <v>1</v>
      </c>
      <c r="B39" s="5" t="s">
        <v>145</v>
      </c>
      <c r="C39" s="6" t="s">
        <v>109</v>
      </c>
      <c r="D39" s="3">
        <f>(ROUNDUP((IF('BİNA BİLGİLERİ'!D32="ALÇIPAN",1,0)+IF('BİNA BİLGİLERİ'!E32="ALÇIPAN",1,0)+IF('BİNA BİLGİLERİ'!F32="ALÇIPAN",1,0))*'BİNA BİLGİLERİ'!B32*'BİNA BİLGİLERİ'!B9/3,0)+(ROUNDUP((IF('BİNA BİLGİLERİ'!D33="ALÇIPAN",1,0)+IF('BİNA BİLGİLERİ'!E33="ALÇIPAN",1,0)+IF('BİNA BİLGİLERİ'!F33="ALÇIPAN",1,0))*'BİNA BİLGİLERİ'!B33*'BİNA BİLGİLERİ'!B9/3,0)*2)+ROUNDUP((IF('BİNA BİLGİLERİ'!D34="ALÇIPAN",1,0)+IF('BİNA BİLGİLERİ'!E34="ALÇIPAN",1,0)+IF('BİNA BİLGİLERİ'!F34="ALÇIPAN",1,0))*'BİNA BİLGİLERİ'!B34/3,0)+ROUNDUP((IF('BİNA BİLGİLERİ'!D35="ALÇIPAN",1,0)+IF('BİNA BİLGİLERİ'!E35="ALÇIPAN",1,0)+IF('BİNA BİLGİLERİ'!F35="ALÇIPAN",1,0))*'BİNA BİLGİLERİ'!B35/3,0)+ROUNDUP((IF('BİNA BİLGİLERİ'!D33="ALÇIPAN",1,0)+IF('BİNA BİLGİLERİ'!E33="ALÇIPAN",1,0)+IF('BİNA BİLGİLERİ'!F33="ALÇIPAN",1,0))*'BİNA BİLGİLERİ'!B32*'BİNA BİLGİLERİ'!B9/3,0))-D40</f>
        <v>108</v>
      </c>
      <c r="E39" s="16">
        <f>K39*1.73</f>
        <v>371.60399999999998</v>
      </c>
      <c r="F39" s="28">
        <f t="shared" ref="F39:F52" si="6">E39*D39</f>
        <v>40133.231999999996</v>
      </c>
      <c r="G39" s="19"/>
      <c r="I39" s="28">
        <v>179</v>
      </c>
      <c r="J39" s="28">
        <f t="shared" ref="J39:J52" si="7">I39*D39</f>
        <v>19332</v>
      </c>
      <c r="K39" s="28">
        <f t="shared" ref="K39:K52" si="8">I39*1.2</f>
        <v>214.79999999999998</v>
      </c>
      <c r="L39" s="28">
        <f>E39-E39*$E$223/100</f>
        <v>278.70299999999997</v>
      </c>
      <c r="M39" s="86">
        <f>(L39-K39)/K39</f>
        <v>0.29749999999999999</v>
      </c>
    </row>
    <row r="40" spans="1:13" ht="24.95" customHeight="1" x14ac:dyDescent="0.25">
      <c r="A40" s="27">
        <v>2</v>
      </c>
      <c r="B40" s="5" t="s">
        <v>110</v>
      </c>
      <c r="C40" s="6" t="s">
        <v>109</v>
      </c>
      <c r="D40" s="9">
        <f>ROUNDUP((IF('BİNA BİLGİLERİ'!D35="ALÇIPAN",1,0)+IF('BİNA BİLGİLERİ'!E35="ALÇIPAN",1,0)+IF('BİNA BİLGİLERİ'!F35="ALÇIPAN",1,0))*'BİNA BİLGİLERİ'!B30/3,0)+ROUNDUP((IF('BİNA BİLGİLERİ'!D33="ALÇIPAN",1,0)+IF('BİNA BİLGİLERİ'!E33="ALÇIPAN",1,0)+IF('BİNA BİLGİLERİ'!F33="ALÇIPAN",1,0))*('BİNA BİLGİLERİ'!B29*'BİNA BİLGİLERİ'!B9)/3,0)</f>
        <v>24</v>
      </c>
      <c r="E40" s="16">
        <f t="shared" ref="E40:E52" si="9">K40*1.73</f>
        <v>544.95000000000005</v>
      </c>
      <c r="F40" s="28">
        <f t="shared" si="6"/>
        <v>13078.800000000001</v>
      </c>
      <c r="G40" s="19"/>
      <c r="I40" s="28">
        <f>315/1.2</f>
        <v>262.5</v>
      </c>
      <c r="J40" s="28">
        <f t="shared" si="7"/>
        <v>6300</v>
      </c>
      <c r="K40" s="28">
        <f t="shared" si="8"/>
        <v>315</v>
      </c>
      <c r="L40" s="28">
        <f t="shared" ref="L40:L52" si="10">E40-E40*$E$223/100</f>
        <v>408.71250000000003</v>
      </c>
      <c r="M40" s="86">
        <f t="shared" ref="M40:M52" si="11">(L40-K40)/K40</f>
        <v>0.2975000000000001</v>
      </c>
    </row>
    <row r="41" spans="1:13" ht="24.95" customHeight="1" x14ac:dyDescent="0.25">
      <c r="A41" s="27">
        <v>3</v>
      </c>
      <c r="B41" s="5" t="s">
        <v>132</v>
      </c>
      <c r="C41" s="6" t="s">
        <v>109</v>
      </c>
      <c r="D41" s="9">
        <f>ROUNDUP((IF('BİNA BİLGİLERİ'!D32="BORDEX",1,0)+IF('BİNA BİLGİLERİ'!E32="BORDEX",1,0)+IF('BİNA BİLGİLERİ'!F32="BORDEX",1,0))*'BİNA BİLGİLERİ'!B32*'BİNA BİLGİLERİ'!B9/2.88,0)+ROUNDUP((IF('BİNA BİLGİLERİ'!D33="BORDEX",1,0)+IF('BİNA BİLGİLERİ'!E33="BORDEX",1,0)+IF('BİNA BİLGİLERİ'!F33="BORDEX",1,0))*'BİNA BİLGİLERİ'!B33*'BİNA BİLGİLERİ'!B9/2.88,0)*2+ROUNDUP((IF('BİNA BİLGİLERİ'!D34="BORDEX",1,0)+IF('BİNA BİLGİLERİ'!E34="BORDEX",1,0)+IF('BİNA BİLGİLERİ'!F34="BORDEX",1,0))*'BİNA BİLGİLERİ'!B34/2.88,0)+ROUNDUP((IF('BİNA BİLGİLERİ'!D35="BORDEX",1,0)+IF('BİNA BİLGİLERİ'!E35="BORDEX",1,0)+IF('BİNA BİLGİLERİ'!F35="BORDEX",1,0))*'BİNA BİLGİLERİ'!B35/2.88,0)+ROUNDUP((IF('BİNA BİLGİLERİ'!D33="BORDEX",1,0)+IF('BİNA BİLGİLERİ'!E33="BORDEX",1,0)+IF('BİNA BİLGİLERİ'!F33="BORDEX",1,0))*'BİNA BİLGİLERİ'!B32*'BİNA BİLGİLERİ'!B9/2.88,0)+IF('BİNA BİLGİLERİ'!D32="BORDEX",ROUNDUP(('BİNA BİLGİLERİ'!B17+'BİNA BİLGİLERİ'!B18)/2.4,0),IF('BİNA BİLGİLERİ'!E32="BORDEX",ROUNDUP(('BİNA BİLGİLERİ'!B17+'BİNA BİLGİLERİ'!B18)/2.4,0),IF('BİNA BİLGİLERİ'!F32="BORDEX",ROUNDUP(('BİNA BİLGİLERİ'!B17+'BİNA BİLGİLERİ'!B18)/2.4,0),0)))</f>
        <v>57</v>
      </c>
      <c r="E41" s="16">
        <f t="shared" si="9"/>
        <v>973.99</v>
      </c>
      <c r="F41" s="28">
        <f t="shared" si="6"/>
        <v>55517.43</v>
      </c>
      <c r="G41" s="19"/>
      <c r="I41" s="28">
        <f>563/1.2</f>
        <v>469.16666666666669</v>
      </c>
      <c r="J41" s="28">
        <f t="shared" si="7"/>
        <v>26742.5</v>
      </c>
      <c r="K41" s="28">
        <f t="shared" si="8"/>
        <v>563</v>
      </c>
      <c r="L41" s="28">
        <f t="shared" si="10"/>
        <v>730.49250000000006</v>
      </c>
      <c r="M41" s="86">
        <f t="shared" si="11"/>
        <v>0.2975000000000001</v>
      </c>
    </row>
    <row r="42" spans="1:13" ht="24.95" customHeight="1" x14ac:dyDescent="0.25">
      <c r="A42" s="27">
        <v>4</v>
      </c>
      <c r="B42" s="5" t="s">
        <v>90</v>
      </c>
      <c r="C42" s="5" t="s">
        <v>114</v>
      </c>
      <c r="D42" s="9">
        <f>ROUNDUP((IF('BİNA BİLGİLERİ'!D32="11 mm OSB 2",1,0)+IF('BİNA BİLGİLERİ'!E32="11 mm OSB 2",1,0)+IF('BİNA BİLGİLERİ'!F32="11 mm OSB 2",1,0))*'BİNA BİLGİLERİ'!B32*'BİNA BİLGİLERİ'!B9/2.97,0)+ROUNDUP((IF('BİNA BİLGİLERİ'!D33="11 mm OSB 2",1,0)+IF('BİNA BİLGİLERİ'!E33="11 mm OSB 2",1,0)+IF('BİNA BİLGİLERİ'!F33="11 mm OSB 2",1,0))*'BİNA BİLGİLERİ'!B33*'BİNA BİLGİLERİ'!B9/2.97,0)*2+ROUNDUP((IF('BİNA BİLGİLERİ'!D34="11 mm OSB 2",1,0)+IF('BİNA BİLGİLERİ'!E34="11 mm OSB 2",1,0)+IF('BİNA BİLGİLERİ'!F34="11 mm OSB 2",1,0))*'BİNA BİLGİLERİ'!B34/2.97,0)+ROUNDUP((IF('BİNA BİLGİLERİ'!D35="11 mm OSB 2",1,0)+IF('BİNA BİLGİLERİ'!E35="11 mm OSB 2",1,0)+IF('BİNA BİLGİLERİ'!F35="11 mm OSB 2",1,0))*'BİNA BİLGİLERİ'!B35/2.97,0)+ROUNDUP((IF('BİNA BİLGİLERİ'!D33="11 mm OSB 2",1,0)+IF('BİNA BİLGİLERİ'!E33="11 mm OSB 2",1,0)+IF('BİNA BİLGİLERİ'!F33="11 mm OSB 2",1,0))*'BİNA BİLGİLERİ'!B32*'BİNA BİLGİLERİ'!B9/2.97,0)</f>
        <v>183</v>
      </c>
      <c r="E42" s="16">
        <f t="shared" si="9"/>
        <v>1036.27</v>
      </c>
      <c r="F42" s="33">
        <f t="shared" si="6"/>
        <v>189637.41</v>
      </c>
      <c r="G42" s="19"/>
      <c r="I42" s="33">
        <f>599/1.2</f>
        <v>499.16666666666669</v>
      </c>
      <c r="J42" s="28">
        <f t="shared" si="7"/>
        <v>91347.5</v>
      </c>
      <c r="K42" s="28">
        <f t="shared" si="8"/>
        <v>599</v>
      </c>
      <c r="L42" s="28">
        <f t="shared" si="10"/>
        <v>777.20249999999999</v>
      </c>
      <c r="M42" s="86">
        <f t="shared" si="11"/>
        <v>0.29749999999999999</v>
      </c>
    </row>
    <row r="43" spans="1:13" ht="24.95" customHeight="1" x14ac:dyDescent="0.25">
      <c r="A43" s="27">
        <v>5</v>
      </c>
      <c r="B43" s="5" t="s">
        <v>211</v>
      </c>
      <c r="C43" s="5" t="s">
        <v>278</v>
      </c>
      <c r="D43" s="9">
        <f>ROUNDUP((IF('BİNA BİLGİLERİ'!D32="YALIBASKI SİDİNG FİBERCEMENT",1,0)+IF('BİNA BİLGİLERİ'!E32="YALIBASKI SİDİNG FİBERCEMENT",1,0)+IF('BİNA BİLGİLERİ'!F32="YALIBASKI SİDİNG FİBERCEMENT",1,0))*'BİNA BİLGİLERİ'!B32*'BİNA BİLGİLERİ'!B9/0.5,0)+ROUNDUP((IF('BİNA BİLGİLERİ'!D33="YALIBASKI SİDİNG FİBERCEMENT",1,0)+IF('BİNA BİLGİLERİ'!E33="YALIBASKI SİDİNG FİBERCEMENT",1,0)+IF('BİNA BİLGİLERİ'!F33="YALIBASKI SİDİNG FİBERCEMENT",1,0))*'BİNA BİLGİLERİ'!B33*'BİNA BİLGİLERİ'!B9/0.5,0)*2+ROUNDUP((IF('BİNA BİLGİLERİ'!D34="YALIBASKI SİDİNG FİBERCEMENT",1,0)+IF('BİNA BİLGİLERİ'!E34="YALIBASKI SİDİNG FİBERCEMENT",1,0)+IF('BİNA BİLGİLERİ'!F34="YALIBASKI SİDİNG FİBERCEMENT",1,0))*'BİNA BİLGİLERİ'!B34/0.5,0)+ROUNDUP((IF('BİNA BİLGİLERİ'!D35="YALIBASKI SİDİNG FİBERCEMENT",1,0)+IF('BİNA BİLGİLERİ'!E35="YALIBASKI SİDİNG FİBERCEMENT",1,0)+IF('BİNA BİLGİLERİ'!F35="YALIBASKI SİDİNG FİBERCEMENT",1,0))*'BİNA BİLGİLERİ'!B35/0.5,0)+ROUNDUP((IF('BİNA BİLGİLERİ'!D33="YALIBASKI SİDİNG FİBERCEMENT",1,0)+IF('BİNA BİLGİLERİ'!E33="YALIBASKI SİDİNG FİBERCEMENT",1,0)+IF('BİNA BİLGİLERİ'!F33="YALIBASKI SİDİNG FİBERCEMENT",1,0))*'BİNA BİLGİLERİ'!B32*'BİNA BİLGİLERİ'!B9/0.5,0)</f>
        <v>0</v>
      </c>
      <c r="E43" s="16">
        <f t="shared" si="9"/>
        <v>449.8</v>
      </c>
      <c r="F43" s="33">
        <f t="shared" si="6"/>
        <v>0</v>
      </c>
      <c r="G43" s="19"/>
      <c r="I43" s="33">
        <f>260/1.2</f>
        <v>216.66666666666669</v>
      </c>
      <c r="J43" s="28">
        <f t="shared" si="7"/>
        <v>0</v>
      </c>
      <c r="K43" s="28">
        <f t="shared" si="8"/>
        <v>260</v>
      </c>
      <c r="L43" s="28">
        <f t="shared" si="10"/>
        <v>337.35</v>
      </c>
      <c r="M43" s="86">
        <f t="shared" si="11"/>
        <v>0.2975000000000001</v>
      </c>
    </row>
    <row r="44" spans="1:13" ht="24.95" customHeight="1" x14ac:dyDescent="0.25">
      <c r="A44" s="27">
        <v>6</v>
      </c>
      <c r="B44" s="5" t="s">
        <v>135</v>
      </c>
      <c r="C44" s="5" t="s">
        <v>134</v>
      </c>
      <c r="D44" s="9">
        <f>ROUNDUP((IF('BİNA BİLGİLERİ'!D32="AĞAÇDESEN FUGALI FİBERCEMENT",1,0)+IF('BİNA BİLGİLERİ'!E32="AĞAÇDESEN FUGALI FİBERCEMENT",1,0)+IF('BİNA BİLGİLERİ'!F32="AĞAÇDESEN FUGALI FİBERCEMENT",1,0))*'BİNA BİLGİLERİ'!B32*'BİNA BİLGİLERİ'!B9/0.96,0)+ROUNDUP((IF('BİNA BİLGİLERİ'!D33="AĞAÇDESEN FUGALI FİBERCEMENT",1,0)+IF('BİNA BİLGİLERİ'!E33="AĞAÇDESEN FUGALI FİBERCEMENT",1,0)+IF('BİNA BİLGİLERİ'!F33="AĞAÇDESEN FUGALI FİBERCEMENT",1,0))*'BİNA BİLGİLERİ'!B33*'BİNA BİLGİLERİ'!B9/0.96,0)*2+ROUNDUP((IF('BİNA BİLGİLERİ'!D34="AĞAÇDESEN FUGALI FİBERCEMENT",1,0)+IF('BİNA BİLGİLERİ'!E34="AĞAÇDESEN FUGALI FİBERCEMENT",1,0)+IF('BİNA BİLGİLERİ'!F34="AĞAÇDESEN FUGALI FİBERCEMENT",1,0))*'BİNA BİLGİLERİ'!B34/0.97,0)+ROUNDUP((IF('BİNA BİLGİLERİ'!D35="AĞAÇDESEN FUGALI FİBERCEMENT",1,0)+IF('BİNA BİLGİLERİ'!E35="AĞAÇDESEN FUGALI FİBERCEMENT",1,0)+IF('BİNA BİLGİLERİ'!F35="AĞAÇDESEN FUGALI FİBERCEMENT",1,0))*'BİNA BİLGİLERİ'!B35/0.97,0)+ROUNDUP((IF('BİNA BİLGİLERİ'!D33="AĞAÇDESEN FUGALI FİBERCEMENT",1,0)+IF('BİNA BİLGİLERİ'!E33="AĞAÇDESEN FUGALI FİBERCEMENT",1,0)+IF('BİNA BİLGİLERİ'!F33="AĞAÇDESEN FUGALI FİBERCEMENT",1,0))*'BİNA BİLGİLERİ'!B32*'BİNA BİLGİLERİ'!B9/0.97,0)</f>
        <v>0</v>
      </c>
      <c r="E44" s="16">
        <f t="shared" si="9"/>
        <v>1086.44</v>
      </c>
      <c r="F44" s="33">
        <f t="shared" si="6"/>
        <v>0</v>
      </c>
      <c r="G44" s="19"/>
      <c r="I44" s="33">
        <f>628/1.2</f>
        <v>523.33333333333337</v>
      </c>
      <c r="J44" s="28">
        <f t="shared" si="7"/>
        <v>0</v>
      </c>
      <c r="K44" s="28">
        <f t="shared" si="8"/>
        <v>628</v>
      </c>
      <c r="L44" s="28">
        <f t="shared" si="10"/>
        <v>814.83</v>
      </c>
      <c r="M44" s="86">
        <f t="shared" si="11"/>
        <v>0.29750000000000004</v>
      </c>
    </row>
    <row r="45" spans="1:13" ht="24.95" customHeight="1" x14ac:dyDescent="0.25">
      <c r="A45" s="27">
        <v>7</v>
      </c>
      <c r="B45" s="5" t="s">
        <v>148</v>
      </c>
      <c r="C45" s="5" t="s">
        <v>134</v>
      </c>
      <c r="D45" s="9">
        <f>ROUNDUP((IF('BİNA BİLGİLERİ'!D32="TAŞDESEN FUGALI FİBERCEMENT",1,0)+IF('BİNA BİLGİLERİ'!E32="TAŞDESEN FUGALI FİBERCEMENT",1,0)+IF('BİNA BİLGİLERİ'!F32="TAŞDESEN FUGALI FİBERCEMENT",1,0))*'BİNA BİLGİLERİ'!B32*'BİNA BİLGİLERİ'!B9/0.96,0)+ROUNDUP((IF('BİNA BİLGİLERİ'!D33="TAŞDESEN FUGALI FİBERCEMENT",1,0)+IF('BİNA BİLGİLERİ'!E33="TAŞDESEN FUGALI FİBERCEMENT",1,0)+IF('BİNA BİLGİLERİ'!F33="TAŞDESEN FUGALI FİBERCEMENT",1,0))*'BİNA BİLGİLERİ'!B33*'BİNA BİLGİLERİ'!B9/0.96,0)*2+ROUNDUP((IF('BİNA BİLGİLERİ'!D34="TAŞDESEN FUGALI FİBERCEMENT",1,0)+IF('BİNA BİLGİLERİ'!E34="TAŞDESEN FUGALI FİBERCEMENT",1,0)+IF('BİNA BİLGİLERİ'!F34="TAŞDESEN FUGALI FİBERCEMENT",1,0))*'BİNA BİLGİLERİ'!B34/0.97,0)+ROUNDUP((IF('BİNA BİLGİLERİ'!D35="TAŞDESEN FUGALI FİBERCEMENT",1,0)+IF('BİNA BİLGİLERİ'!E35="TAŞDESEN FUGALI FİBERCEMENT",1,0)+IF('BİNA BİLGİLERİ'!F35="TAŞDESEN FUGALI FİBERCEMENT",1,0))*'BİNA BİLGİLERİ'!B35/0.97,0)+ROUNDUP((IF('BİNA BİLGİLERİ'!D33="TAŞDESEN FUGALI FİBERCEMENT",1,0)+IF('BİNA BİLGİLERİ'!E33="TAŞDESEN FUGALI FİBERCEMENT",1,0)+IF('BİNA BİLGİLERİ'!F33="TAŞDESEN FUGALI FİBERCEMENT",1,0))*'BİNA BİLGİLERİ'!B32*'BİNA BİLGİLERİ'!B9/0.97,0)</f>
        <v>0</v>
      </c>
      <c r="E45" s="16">
        <f t="shared" si="9"/>
        <v>1131.42</v>
      </c>
      <c r="F45" s="33">
        <f t="shared" si="6"/>
        <v>0</v>
      </c>
      <c r="G45" s="19"/>
      <c r="I45" s="33">
        <f>654/1.2</f>
        <v>545</v>
      </c>
      <c r="J45" s="28">
        <f t="shared" si="7"/>
        <v>0</v>
      </c>
      <c r="K45" s="28">
        <f t="shared" si="8"/>
        <v>654</v>
      </c>
      <c r="L45" s="28">
        <f t="shared" si="10"/>
        <v>848.56500000000005</v>
      </c>
      <c r="M45" s="86">
        <f t="shared" si="11"/>
        <v>0.2975000000000001</v>
      </c>
    </row>
    <row r="46" spans="1:13" ht="24.95" customHeight="1" x14ac:dyDescent="0.25">
      <c r="A46" s="27">
        <v>8</v>
      </c>
      <c r="B46" s="5" t="s">
        <v>209</v>
      </c>
      <c r="C46" s="5" t="s">
        <v>252</v>
      </c>
      <c r="D46" s="9">
        <f>ROUNDUP((IF('BİNA BİLGİLERİ'!D32="AHŞAP DESEN LEVHA",1,0)+IF('BİNA BİLGİLERİ'!E32="AHŞAP DESEN LEVHA",1,0)+IF('BİNA BİLGİLERİ'!F32="AHŞAP DESEN LEVHA",1,0))*'BİNA BİLGİLERİ'!B32*'BİNA BİLGİLERİ'!B9/3.75,0)+ROUNDUP((IF('BİNA BİLGİLERİ'!D33="AHŞAP DESEN LEVHA",1,0)+IF('BİNA BİLGİLERİ'!E33="AHŞAP DESEN LEVHA",1,0)+IF('BİNA BİLGİLERİ'!F33="AHŞAP DESEN LEVHA",1,0))*'BİNA BİLGİLERİ'!B33*'BİNA BİLGİLERİ'!B9/3.75,0)*2+ROUNDUP((IF('BİNA BİLGİLERİ'!D34="AHŞAP DESEN LEVHA",1,0)+IF('BİNA BİLGİLERİ'!E34="AHŞAP DESEN LEVHA",1,0)+IF('BİNA BİLGİLERİ'!F34="AHŞAP DESEN LEVHA",1,0))*'BİNA BİLGİLERİ'!B34/3.75,0)+ROUNDUP((IF('BİNA BİLGİLERİ'!D35="AHŞAP DESEN LEVHA",1,0)+IF('BİNA BİLGİLERİ'!E35="AHŞAP DESEN LEVHA",1,0)+IF('BİNA BİLGİLERİ'!F35="AHŞAP DESEN LEVHA",1,0))*'BİNA BİLGİLERİ'!B35/3.75,0)+ROUNDUP((IF('BİNA BİLGİLERİ'!D33="AHŞAP DESEN LEVHA",1,0)+IF('BİNA BİLGİLERİ'!E33="AHŞAP DESEN LEVHA",1,0)+IF('BİNA BİLGİLERİ'!F33="AHŞAP DESEN LEVHA",1,0))*'BİNA BİLGİLERİ'!B32*'BİNA BİLGİLERİ'!B9/3.75,0)</f>
        <v>0</v>
      </c>
      <c r="E46" s="16">
        <f t="shared" si="9"/>
        <v>1672.91</v>
      </c>
      <c r="F46" s="28">
        <f t="shared" si="6"/>
        <v>0</v>
      </c>
      <c r="G46" s="19"/>
      <c r="I46" s="28">
        <f>967/1.2</f>
        <v>805.83333333333337</v>
      </c>
      <c r="J46" s="28">
        <f t="shared" si="7"/>
        <v>0</v>
      </c>
      <c r="K46" s="28">
        <f t="shared" si="8"/>
        <v>967</v>
      </c>
      <c r="L46" s="28">
        <f t="shared" si="10"/>
        <v>1254.6825000000001</v>
      </c>
      <c r="M46" s="86">
        <f t="shared" si="11"/>
        <v>0.2975000000000001</v>
      </c>
    </row>
    <row r="47" spans="1:13" ht="24.95" customHeight="1" x14ac:dyDescent="0.25">
      <c r="A47" s="27">
        <v>9</v>
      </c>
      <c r="B47" s="5" t="s">
        <v>129</v>
      </c>
      <c r="C47" s="6" t="s">
        <v>128</v>
      </c>
      <c r="D47" s="36">
        <f>IF('BİNA BİLGİLERİ'!B7="2",ROUNDUP('BİNA BİLGİLERİ'!B8/3.125,0)+2,0)</f>
        <v>0</v>
      </c>
      <c r="E47" s="16">
        <f t="shared" si="9"/>
        <v>2159.04</v>
      </c>
      <c r="F47" s="28">
        <f t="shared" si="6"/>
        <v>0</v>
      </c>
      <c r="G47" s="24"/>
      <c r="I47" s="28">
        <f>1248/1.2</f>
        <v>1040</v>
      </c>
      <c r="J47" s="28">
        <f t="shared" si="7"/>
        <v>0</v>
      </c>
      <c r="K47" s="28">
        <f t="shared" si="8"/>
        <v>1248</v>
      </c>
      <c r="L47" s="28">
        <f t="shared" si="10"/>
        <v>1619.28</v>
      </c>
      <c r="M47" s="86">
        <f t="shared" si="11"/>
        <v>0.29749999999999999</v>
      </c>
    </row>
    <row r="48" spans="1:13" ht="24.95" customHeight="1" x14ac:dyDescent="0.25">
      <c r="A48" s="27">
        <v>10</v>
      </c>
      <c r="B48" s="5" t="s">
        <v>127</v>
      </c>
      <c r="C48" s="6" t="s">
        <v>273</v>
      </c>
      <c r="D48" s="36">
        <f>ROUNDUP((IF('BİNA BİLGİLERİ'!D32="FİBERCEMENT LEVHA",1,0)+IF('BİNA BİLGİLERİ'!E32="FİBERCEMENT LEVHA",1,0)+IF('BİNA BİLGİLERİ'!F32="FİBERCEMENT LEVHA",1,0))*'BİNA BİLGİLERİ'!B32*'BİNA BİLGİLERİ'!B9/3.125,0)+ROUNDUP((IF('BİNA BİLGİLERİ'!D33="FİBERCEMENT LEVHA",1,0)+IF('BİNA BİLGİLERİ'!E33="FİBERCEMENT LEVHA",1,0)+IF('BİNA BİLGİLERİ'!F33="FİBERCEMENT LEVHA",1,0))*'BİNA BİLGİLERİ'!B33*'BİNA BİLGİLERİ'!B9/3.125,0)*2+ROUNDUP((IF('BİNA BİLGİLERİ'!D34="FİBERCEMENT LEVHA",1,0)+IF('BİNA BİLGİLERİ'!E34="FİBERCEMENT LEVHA",1,0)+IF('BİNA BİLGİLERİ'!F34="FİBERCEMENT LEVHA",1,0))*'BİNA BİLGİLERİ'!B34/3.125,0)+ROUNDUP((IF('BİNA BİLGİLERİ'!D35="FİBERCEMENT LEVHA",1,0)+IF('BİNA BİLGİLERİ'!E35="FİBERCEMENT LEVHA",1,0)+IF('BİNA BİLGİLERİ'!F35="FİBERCEMENT LEVHA",1,0))*'BİNA BİLGİLERİ'!B35/3.125,0)+ROUNDUP((IF('BİNA BİLGİLERİ'!D33="FİBERCEMENT LEVHA",1,0)+IF('BİNA BİLGİLERİ'!E33="FİBERCEMENT LEVHA",1,0)+IF('BİNA BİLGİLERİ'!F33="FİBERCEMENT LEVHA",1,0))*'BİNA BİLGİLERİ'!B32*'BİNA BİLGİLERİ'!B9/3.125,0)</f>
        <v>0</v>
      </c>
      <c r="E48" s="16">
        <f t="shared" si="9"/>
        <v>1079.52</v>
      </c>
      <c r="F48" s="28">
        <f t="shared" si="6"/>
        <v>0</v>
      </c>
      <c r="G48" s="24"/>
      <c r="I48" s="28">
        <f>624/1.2</f>
        <v>520</v>
      </c>
      <c r="J48" s="28">
        <f t="shared" si="7"/>
        <v>0</v>
      </c>
      <c r="K48" s="28">
        <f t="shared" si="8"/>
        <v>624</v>
      </c>
      <c r="L48" s="28">
        <f t="shared" si="10"/>
        <v>809.64</v>
      </c>
      <c r="M48" s="86">
        <f t="shared" si="11"/>
        <v>0.29749999999999999</v>
      </c>
    </row>
    <row r="49" spans="1:13" ht="24.95" customHeight="1" x14ac:dyDescent="0.25">
      <c r="A49" s="27">
        <v>11</v>
      </c>
      <c r="B49" s="5" t="s">
        <v>146</v>
      </c>
      <c r="C49" s="6" t="s">
        <v>117</v>
      </c>
      <c r="D49" s="9">
        <f>IF('BİNA BİLGİLERİ'!D32="YALIBASKI SİDİNG FİBERCEMENT",(('BİNA BİLGİLERİ'!B9*'BİNA BİLGİLERİ'!B7+0.3)*'BİNA BİLGİLERİ'!B4)/2.8,IF('BİNA BİLGİLERİ'!D32="AĞAÇDESEN FUGALI FİBERCEMENT",(('BİNA BİLGİLERİ'!B9*'BİNA BİLGİLERİ'!B7+0.3)*'BİNA BİLGİLERİ'!B4)/2.8,IF('BİNA BİLGİLERİ'!D32="TAŞDESEN FUGALI FİBERCEMENT",(('BİNA BİLGİLERİ'!B9*'BİNA BİLGİLERİ'!B7+0.3)*'BİNA BİLGİLERİ'!B4)/2.8,IF('BİNA BİLGİLERİ'!D32="AHŞAP DESEN LEVHA",(('BİNA BİLGİLERİ'!B9*'BİNA BİLGİLERİ'!B7+0.3)*'BİNA BİLGİLERİ'!B4)/2.8,IF('BİNA BİLGİLERİ'!D32="FİBERCEMENT LEVHA",(('BİNA BİLGİLERİ'!B9*'BİNA BİLGİLERİ'!B7+0.3)*'BİNA BİLGİLERİ'!B4)/2.8,IF('BİNA BİLGİLERİ'!E32="YALIBASKI SİDİNG FİBERCEMENT",(('BİNA BİLGİLERİ'!B9*'BİNA BİLGİLERİ'!B7+0.3)*'BİNA BİLGİLERİ'!B4)/2.8,IF('BİNA BİLGİLERİ'!E32="AĞAÇDESEN FUGALI FİBERCEMENT",(('BİNA BİLGİLERİ'!B9*'BİNA BİLGİLERİ'!B7+0.3)*'BİNA BİLGİLERİ'!B4)/2.8,IF('BİNA BİLGİLERİ'!E32="TAŞDESEN FUGALI FİBERCEMENT",(('BİNA BİLGİLERİ'!B9*'BİNA BİLGİLERİ'!B7+0.3)*'BİNA BİLGİLERİ'!B4)/2.8,IF('BİNA BİLGİLERİ'!E32="AHŞAP DESEN LEVHA",(('BİNA BİLGİLERİ'!B9*'BİNA BİLGİLERİ'!B7+0.3)*'BİNA BİLGİLERİ'!B4)/2.8,IF('BİNA BİLGİLERİ'!E32="FİBERCEMENT LEVHA",(('BİNA BİLGİLERİ'!B9*'BİNA BİLGİLERİ'!B7+0.3)*'BİNA BİLGİLERİ'!B4)/2.8,IF('BİNA BİLGİLERİ'!F32="YALIBASKI SİDİNG FİBERCEMENT",(('BİNA BİLGİLERİ'!B9*'BİNA BİLGİLERİ'!B7+0.3)*'BİNA BİLGİLERİ'!B4)/2.8,IF('BİNA BİLGİLERİ'!F32="AĞAÇDESEN FUGALI FİBERCEMENT",(('BİNA BİLGİLERİ'!B9*'BİNA BİLGİLERİ'!B7+0.3)*'BİNA BİLGİLERİ'!B4)/2.8,IF('BİNA BİLGİLERİ'!F32="TAŞDESEN FUGALI FİBERCEMENT",(('BİNA BİLGİLERİ'!B9*'BİNA BİLGİLERİ'!B7+0.3)*'BİNA BİLGİLERİ'!B4)/2.8,IF('BİNA BİLGİLERİ'!F32="AHŞAP DESEN LEVHA",(('BİNA BİLGİLERİ'!B9*'BİNA BİLGİLERİ'!B7+0.3)*'BİNA BİLGİLERİ'!B4)/2.8,IF('BİNA BİLGİLERİ'!F32="FİBERCEMENT LEVHA",(('BİNA BİLGİLERİ'!B9*'BİNA BİLGİLERİ'!B7+0.3)*'BİNA BİLGİLERİ'!B4)/2.8,0)))))))))))))))</f>
        <v>0</v>
      </c>
      <c r="E49" s="16">
        <f t="shared" si="9"/>
        <v>363.3</v>
      </c>
      <c r="F49" s="28">
        <f t="shared" si="6"/>
        <v>0</v>
      </c>
      <c r="G49" s="24"/>
      <c r="I49" s="28">
        <f>210/1.2</f>
        <v>175</v>
      </c>
      <c r="J49" s="28">
        <f t="shared" si="7"/>
        <v>0</v>
      </c>
      <c r="K49" s="28">
        <f t="shared" si="8"/>
        <v>210</v>
      </c>
      <c r="L49" s="28">
        <f t="shared" si="10"/>
        <v>272.47500000000002</v>
      </c>
      <c r="M49" s="86">
        <f t="shared" si="11"/>
        <v>0.2975000000000001</v>
      </c>
    </row>
    <row r="50" spans="1:13" ht="24.95" customHeight="1" x14ac:dyDescent="0.25">
      <c r="A50" s="27">
        <v>12</v>
      </c>
      <c r="B50" s="5" t="s">
        <v>147</v>
      </c>
      <c r="C50" s="6" t="s">
        <v>136</v>
      </c>
      <c r="D50" s="9">
        <f>IF('BİNA BİLGİLERİ'!D32="YALIBASKI SİDİNG FİBERCEMENT",Q82,IF('BİNA BİLGİLERİ'!D32="AĞAÇDESEN FUGALI FİBERCEMENT",Q82,IF('BİNA BİLGİLERİ'!D32="TAŞDESEN FUGALI FİBERCEMENT",Q82,IF('BİNA BİLGİLERİ'!D32="AHŞAP DESEN LEVHA",Q82,IF('BİNA BİLGİLERİ'!D32="FİBERCEMENT LEVHA",Q82,IF('BİNA BİLGİLERİ'!E32="YALIBASKI SİDİNG FİBERCEMENT",Q82,IF('BİNA BİLGİLERİ'!E32="AĞAÇDESEN FUGALI FİBERCEMENT",Q82,IF('BİNA BİLGİLERİ'!E32="TAŞDESEN FUGALI FİBERCEMENT",Q82,IF('BİNA BİLGİLERİ'!E32="AHŞAP DESEN LEVHA",Q82,IF('BİNA BİLGİLERİ'!E32="FİBERCEMENT LEVHA",Q82,IF('BİNA BİLGİLERİ'!F32="YALIBASKI SİDİNG FİBERCEMENT",Q82,IF('BİNA BİLGİLERİ'!F32="AĞAÇDESEN FUGALI FİBERCEMENT",Q82,IF('BİNA BİLGİLERİ'!F32="TAŞDESEN FUGALI FİBERCEMENT",Q82,IF('BİNA BİLGİLERİ'!F32="AHŞAP DESEN LEVHA",Q82,IF('BİNA BİLGİLERİ'!F32="FİBERCEMENT LEVHA",Q82,0)))))))))))))))</f>
        <v>0</v>
      </c>
      <c r="E50" s="16">
        <f t="shared" si="9"/>
        <v>363.3</v>
      </c>
      <c r="F50" s="28">
        <f t="shared" si="6"/>
        <v>0</v>
      </c>
      <c r="G50" s="24"/>
      <c r="I50" s="28">
        <f>210/1.2</f>
        <v>175</v>
      </c>
      <c r="J50" s="28">
        <f t="shared" si="7"/>
        <v>0</v>
      </c>
      <c r="K50" s="28">
        <f t="shared" si="8"/>
        <v>210</v>
      </c>
      <c r="L50" s="28">
        <f t="shared" si="10"/>
        <v>272.47500000000002</v>
      </c>
      <c r="M50" s="86">
        <f t="shared" si="11"/>
        <v>0.2975000000000001</v>
      </c>
    </row>
    <row r="51" spans="1:13" ht="24.95" customHeight="1" x14ac:dyDescent="0.25">
      <c r="A51" s="27">
        <v>13</v>
      </c>
      <c r="B51" s="5" t="s">
        <v>198</v>
      </c>
      <c r="C51" s="6" t="s">
        <v>253</v>
      </c>
      <c r="D51" s="9">
        <f>IF('BİNA BİLGİLERİ'!D32="YALIBASKI SİDİNG FİBERCEMENT",ROUNDUP(('BİNA BİLGİLERİ'!B17+'BİNA BİLGİLERİ'!B18)/2.4,0),IF('BİNA BİLGİLERİ'!D32="AĞAÇDESEN FUGALI FİBERCEMENT",ROUNDUP(('BİNA BİLGİLERİ'!B17+'BİNA BİLGİLERİ'!B18)/2.4,0),IF('BİNA BİLGİLERİ'!D32="TAŞDESEN FUGALI FİBERCEMENT",ROUNDUP(('BİNA BİLGİLERİ'!B17+'BİNA BİLGİLERİ'!B18)/2.4,0),IF('BİNA BİLGİLERİ'!D32="AHŞAP DESEN LEVHA",ROUNDUP(('BİNA BİLGİLERİ'!B17+'BİNA BİLGİLERİ'!B18)/2.4,0),IF('BİNA BİLGİLERİ'!D32="FİBERCEMENT LEVHA",ROUNDUP(('BİNA BİLGİLERİ'!B17+'BİNA BİLGİLERİ'!B18)/2.4,0),IF('BİNA BİLGİLERİ'!E32="YALIBASKI SİDİNG FİBERCEMENT",ROUNDUP(('BİNA BİLGİLERİ'!B17+'BİNA BİLGİLERİ'!B18)/2.4,0),IF('BİNA BİLGİLERİ'!E32="AĞAÇDESEN FUGALI FİBERCEMENT",ROUNDUP(('BİNA BİLGİLERİ'!B17+'BİNA BİLGİLERİ'!B18)/2.4,0),IF('BİNA BİLGİLERİ'!E32="TAŞDESEN FUGALI FİBERCEMENT",ROUNDUP(('BİNA BİLGİLERİ'!B17+'BİNA BİLGİLERİ'!B18)/2.4,0),IF('BİNA BİLGİLERİ'!E32="AHŞAP DESEN LEVHA",ROUNDUP(('BİNA BİLGİLERİ'!B17+'BİNA BİLGİLERİ'!B18)/2.4,0),IF('BİNA BİLGİLERİ'!E32="FİBERCEMENT LEVHA",ROUNDUP(('BİNA BİLGİLERİ'!B17+'BİNA BİLGİLERİ'!B18)/2.4,0),IF('BİNA BİLGİLERİ'!F32="YALIBASKI SİDİNG FİBERCEMENT",ROUNDUP(('BİNA BİLGİLERİ'!B17+'BİNA BİLGİLERİ'!B18)/2.4,0),IF('BİNA BİLGİLERİ'!F32="AĞAÇDESEN FUGALI FİBERCEMENT",ROUNDUP(('BİNA BİLGİLERİ'!B17+'BİNA BİLGİLERİ'!B18)/2.4,0),IF('BİNA BİLGİLERİ'!F32="TAŞDESEN FUGALI FİBERCEMENT",ROUNDUP(('BİNA BİLGİLERİ'!B17+'BİNA BİLGİLERİ'!B18)/2.4,0),IF('BİNA BİLGİLERİ'!F32="AHŞAP DESEN LEVHA",ROUNDUP(('BİNA BİLGİLERİ'!B17+'BİNA BİLGİLERİ'!B18)/2.4,0),IF('BİNA BİLGİLERİ'!F32="FİBERCEMENT LEVHA",ROUNDUP(('BİNA BİLGİLERİ'!B17+'BİNA BİLGİLERİ'!B18)/2.4,0),0)))))))))))))))</f>
        <v>0</v>
      </c>
      <c r="E51" s="16">
        <f t="shared" si="9"/>
        <v>467.1</v>
      </c>
      <c r="F51" s="28">
        <f t="shared" si="6"/>
        <v>0</v>
      </c>
      <c r="I51" s="28">
        <f>270/1.2</f>
        <v>225</v>
      </c>
      <c r="J51" s="28">
        <f t="shared" si="7"/>
        <v>0</v>
      </c>
      <c r="K51" s="28">
        <f t="shared" si="8"/>
        <v>270</v>
      </c>
      <c r="L51" s="28">
        <f t="shared" si="10"/>
        <v>350.32500000000005</v>
      </c>
      <c r="M51" s="86">
        <f t="shared" si="11"/>
        <v>0.29750000000000015</v>
      </c>
    </row>
    <row r="52" spans="1:13" ht="24.95" customHeight="1" x14ac:dyDescent="0.25">
      <c r="A52" s="27">
        <v>14</v>
      </c>
      <c r="B52" s="5" t="s">
        <v>130</v>
      </c>
      <c r="C52" s="6" t="s">
        <v>131</v>
      </c>
      <c r="D52" s="9">
        <f>IF('BİNA BİLGİLERİ'!D32="YALIBASKI SİDİNG FİBERCEMENT",ROUNDUP(('BİNA BİLGİLERİ'!B17+'BİNA BİLGİLERİ'!B18)/2.4,0),IF('BİNA BİLGİLERİ'!D32="AĞAÇDESEN FUGALI FİBERCEMENT",ROUNDUP(('BİNA BİLGİLERİ'!B17+'BİNA BİLGİLERİ'!B18)/2.4,0),IF('BİNA BİLGİLERİ'!D32="TAŞDESEN FUGALI FİBERCEMENT",ROUNDUP(('BİNA BİLGİLERİ'!B17+'BİNA BİLGİLERİ'!B18)/2.4,0),IF('BİNA BİLGİLERİ'!D32="AHŞAP DESEN LEVHA",ROUNDUP(('BİNA BİLGİLERİ'!B17+'BİNA BİLGİLERİ'!B18)/2.4,0),IF('BİNA BİLGİLERİ'!D32="FİBERCEMENT LEVHA",ROUNDUP(('BİNA BİLGİLERİ'!B17+'BİNA BİLGİLERİ'!B18)/2.4,0),IF('BİNA BİLGİLERİ'!E32="YALIBASKI SİDİNG FİBERCEMENT",ROUNDUP(('BİNA BİLGİLERİ'!B17+'BİNA BİLGİLERİ'!B18)/2.4,0),IF('BİNA BİLGİLERİ'!E32="AĞAÇDESEN FUGALI FİBERCEMENT",ROUNDUP(('BİNA BİLGİLERİ'!B17+'BİNA BİLGİLERİ'!B18)/2.4,0),IF('BİNA BİLGİLERİ'!E32="TAŞDESEN FUGALI FİBERCEMENT",ROUNDUP(('BİNA BİLGİLERİ'!B17+'BİNA BİLGİLERİ'!B18)/2.4,0),IF('BİNA BİLGİLERİ'!E32="AHŞAP DESEN LEVHA",ROUNDUP(('BİNA BİLGİLERİ'!B17+'BİNA BİLGİLERİ'!B18)/2.4,0),IF('BİNA BİLGİLERİ'!E32="FİBERCEMENT LEVHA",ROUNDUP(('BİNA BİLGİLERİ'!B17+'BİNA BİLGİLERİ'!B18)/2.4,0),IF('BİNA BİLGİLERİ'!F32="YALIBASKI SİDİNG FİBERCEMENT",ROUNDUP(('BİNA BİLGİLERİ'!B17+'BİNA BİLGİLERİ'!B18)/2.4,0),IF('BİNA BİLGİLERİ'!F32="AĞAÇDESEN FUGALI FİBERCEMENT",ROUNDUP(('BİNA BİLGİLERİ'!B17+'BİNA BİLGİLERİ'!B18)/2.4,0),IF('BİNA BİLGİLERİ'!F32="TAŞDESEN FUGALI FİBERCEMENT",ROUNDUP(('BİNA BİLGİLERİ'!B17+'BİNA BİLGİLERİ'!B18)/2.4,0),IF('BİNA BİLGİLERİ'!F32="AHŞAP DESEN LEVHA",ROUNDUP(('BİNA BİLGİLERİ'!B17+'BİNA BİLGİLERİ'!B18)/2.4,0),IF('BİNA BİLGİLERİ'!F32="FİBERCEMENT LEVHA",ROUNDUP(('BİNA BİLGİLERİ'!B17+'BİNA BİLGİLERİ'!B18)/2.4,0),0)))))))))))))))</f>
        <v>0</v>
      </c>
      <c r="E52" s="16">
        <f t="shared" si="9"/>
        <v>467.1</v>
      </c>
      <c r="F52" s="28">
        <f t="shared" si="6"/>
        <v>0</v>
      </c>
      <c r="I52" s="28">
        <f>270/1.2</f>
        <v>225</v>
      </c>
      <c r="J52" s="28">
        <f t="shared" si="7"/>
        <v>0</v>
      </c>
      <c r="K52" s="28">
        <f t="shared" si="8"/>
        <v>270</v>
      </c>
      <c r="L52" s="28">
        <f t="shared" si="10"/>
        <v>350.32500000000005</v>
      </c>
      <c r="M52" s="86">
        <f t="shared" si="11"/>
        <v>0.29750000000000015</v>
      </c>
    </row>
    <row r="53" spans="1:13" ht="24.95" customHeight="1" x14ac:dyDescent="0.25">
      <c r="A53" s="259"/>
      <c r="B53" s="260"/>
      <c r="C53" s="261"/>
      <c r="D53" s="66" t="s">
        <v>5</v>
      </c>
      <c r="E53" s="67"/>
      <c r="F53" s="68">
        <f>SUBTOTAL(9,F39:F52)</f>
        <v>298366.87199999997</v>
      </c>
      <c r="G53" s="19"/>
      <c r="I53" s="68">
        <f>SUBTOTAL(9,I39:I52)</f>
        <v>5860.666666666667</v>
      </c>
      <c r="J53" s="68">
        <f>SUBTOTAL(9,J39:J52)</f>
        <v>143722</v>
      </c>
      <c r="K53" s="68">
        <f>SUBTOTAL(9,K39:K52)</f>
        <v>7032.8</v>
      </c>
      <c r="L53" s="68">
        <f>SUBTOTAL(9,L39:L52)</f>
        <v>9125.0580000000009</v>
      </c>
      <c r="M53" s="88"/>
    </row>
    <row r="54" spans="1:13" ht="24.95" customHeight="1" x14ac:dyDescent="0.25">
      <c r="A54" s="254" t="s">
        <v>144</v>
      </c>
      <c r="B54" s="255"/>
      <c r="C54" s="73"/>
      <c r="D54" s="74">
        <v>1003</v>
      </c>
      <c r="E54" s="77"/>
      <c r="F54" s="76"/>
      <c r="I54" s="76"/>
      <c r="J54" s="76"/>
      <c r="K54" s="76"/>
      <c r="L54" s="76"/>
      <c r="M54" s="89"/>
    </row>
    <row r="55" spans="1:13" ht="24.95" customHeight="1" x14ac:dyDescent="0.25">
      <c r="A55" s="27">
        <v>1</v>
      </c>
      <c r="B55" s="5" t="s">
        <v>380</v>
      </c>
      <c r="C55" s="83" t="s">
        <v>371</v>
      </c>
      <c r="D55" s="32">
        <f>IF('BİNA BİLGİLERİ'!B13="TRAPEZ ÇATI",'BİNA BİLGİLERİ'!B34,0)</f>
        <v>0</v>
      </c>
      <c r="E55" s="16">
        <f>C55*4.9*P2*1.2*$G$2*1.73/1000</f>
        <v>513.75706200000002</v>
      </c>
      <c r="F55" s="33">
        <f t="shared" ref="F55:F73" si="12">E55*D55</f>
        <v>0</v>
      </c>
      <c r="I55" s="85">
        <f>C55*4.9*P2*G2/1000</f>
        <v>247.47450000000001</v>
      </c>
      <c r="J55" s="28">
        <f t="shared" ref="J55:J73" si="13">I55*D55</f>
        <v>0</v>
      </c>
      <c r="K55" s="33">
        <f>I55*1.2</f>
        <v>296.96940000000001</v>
      </c>
      <c r="L55" s="28">
        <f t="shared" ref="L55:L73" si="14">E55-E55*$E$223/100</f>
        <v>385.31779649999999</v>
      </c>
      <c r="M55" s="86">
        <f t="shared" ref="M55:M73" si="15">(L55-K55)/K55</f>
        <v>0.29749999999999993</v>
      </c>
    </row>
    <row r="56" spans="1:13" ht="24.95" customHeight="1" x14ac:dyDescent="0.25">
      <c r="A56" s="27">
        <v>2</v>
      </c>
      <c r="B56" s="5" t="s">
        <v>383</v>
      </c>
      <c r="C56" s="83" t="s">
        <v>396</v>
      </c>
      <c r="D56" s="32">
        <f>IF('BİNA BİLGİLERİ'!B13="SANDVİÇ PANEL",'BİNA BİLGİLERİ'!B34,0)</f>
        <v>0</v>
      </c>
      <c r="E56" s="16">
        <v>10</v>
      </c>
      <c r="F56" s="33">
        <f t="shared" si="12"/>
        <v>0</v>
      </c>
      <c r="I56" s="85">
        <f>C56*4.9*P2*G2/1000</f>
        <v>0.24747450000000004</v>
      </c>
      <c r="J56" s="28">
        <f t="shared" si="13"/>
        <v>0</v>
      </c>
      <c r="K56" s="33">
        <f t="shared" ref="K56:K73" si="16">I56*1.2</f>
        <v>0.29696940000000005</v>
      </c>
      <c r="L56" s="28">
        <f t="shared" si="14"/>
        <v>7.5</v>
      </c>
      <c r="M56" s="86">
        <f t="shared" si="15"/>
        <v>24.25512729594362</v>
      </c>
    </row>
    <row r="57" spans="1:13" ht="24.95" customHeight="1" x14ac:dyDescent="0.25">
      <c r="A57" s="27">
        <v>3</v>
      </c>
      <c r="B57" s="5" t="s">
        <v>381</v>
      </c>
      <c r="C57" s="83" t="s">
        <v>371</v>
      </c>
      <c r="D57" s="32">
        <f>IF('BİNA BİLGİLERİ'!B13="METAL KİREMİT ÇATI ",'BİNA BİLGİLERİ'!B34,0)</f>
        <v>126.724896</v>
      </c>
      <c r="E57" s="16">
        <f>C57*4.9*$P$2*1.2*$G$2*1.73/1000*1.15*1.05</f>
        <v>620.36165236499994</v>
      </c>
      <c r="F57" s="33">
        <f t="shared" si="12"/>
        <v>78615.265878342776</v>
      </c>
      <c r="I57" s="85">
        <f>C57*4.9*P2*G2/1000*1.05</f>
        <v>259.84822500000001</v>
      </c>
      <c r="J57" s="28">
        <f t="shared" si="13"/>
        <v>32929.239288909601</v>
      </c>
      <c r="K57" s="33">
        <f t="shared" si="16"/>
        <v>311.81787000000003</v>
      </c>
      <c r="L57" s="28">
        <f t="shared" si="14"/>
        <v>465.27123927374998</v>
      </c>
      <c r="M57" s="86">
        <f t="shared" si="15"/>
        <v>0.49212499999999981</v>
      </c>
    </row>
    <row r="58" spans="1:13" ht="24.95" customHeight="1" x14ac:dyDescent="0.25">
      <c r="A58" s="27">
        <v>4</v>
      </c>
      <c r="B58" s="5" t="s">
        <v>276</v>
      </c>
      <c r="C58" s="83"/>
      <c r="D58" s="113"/>
      <c r="E58" s="16">
        <f>C58*4.9*P2*1.2*$G$2*1.73/1000*1.05</f>
        <v>0</v>
      </c>
      <c r="F58" s="33">
        <f t="shared" si="12"/>
        <v>0</v>
      </c>
      <c r="I58" s="85">
        <f>C58*4.9*P2*G2/1000*1.05</f>
        <v>0</v>
      </c>
      <c r="J58" s="28">
        <f t="shared" si="13"/>
        <v>0</v>
      </c>
      <c r="K58" s="33">
        <f t="shared" si="16"/>
        <v>0</v>
      </c>
      <c r="L58" s="28">
        <f t="shared" si="14"/>
        <v>0</v>
      </c>
      <c r="M58" s="86" t="e">
        <f t="shared" si="15"/>
        <v>#DIV/0!</v>
      </c>
    </row>
    <row r="59" spans="1:13" ht="24.95" customHeight="1" x14ac:dyDescent="0.25">
      <c r="A59" s="27">
        <v>5</v>
      </c>
      <c r="B59" s="5" t="s">
        <v>22</v>
      </c>
      <c r="C59" s="10" t="s">
        <v>274</v>
      </c>
      <c r="D59" s="113"/>
      <c r="E59" s="16">
        <f>K59*1.73</f>
        <v>516.92399999999998</v>
      </c>
      <c r="F59" s="33">
        <f t="shared" si="12"/>
        <v>0</v>
      </c>
      <c r="I59" s="33">
        <v>249</v>
      </c>
      <c r="J59" s="28">
        <f t="shared" si="13"/>
        <v>0</v>
      </c>
      <c r="K59" s="33">
        <f t="shared" si="16"/>
        <v>298.8</v>
      </c>
      <c r="L59" s="28">
        <f t="shared" si="14"/>
        <v>387.69299999999998</v>
      </c>
      <c r="M59" s="86">
        <f t="shared" si="15"/>
        <v>0.29749999999999988</v>
      </c>
    </row>
    <row r="60" spans="1:13" ht="24.95" customHeight="1" x14ac:dyDescent="0.25">
      <c r="A60" s="27">
        <v>5</v>
      </c>
      <c r="B60" s="5" t="s">
        <v>277</v>
      </c>
      <c r="C60" s="10" t="s">
        <v>274</v>
      </c>
      <c r="D60" s="113"/>
      <c r="E60" s="16">
        <f>K60*1.73</f>
        <v>537.68399999999997</v>
      </c>
      <c r="F60" s="33">
        <f>E60*D60</f>
        <v>0</v>
      </c>
      <c r="I60" s="33">
        <v>259</v>
      </c>
      <c r="J60" s="28">
        <f t="shared" si="13"/>
        <v>0</v>
      </c>
      <c r="K60" s="33">
        <f t="shared" si="16"/>
        <v>310.8</v>
      </c>
      <c r="L60" s="28">
        <f t="shared" si="14"/>
        <v>403.26299999999998</v>
      </c>
      <c r="M60" s="86">
        <f t="shared" si="15"/>
        <v>0.29749999999999988</v>
      </c>
    </row>
    <row r="61" spans="1:13" ht="24.95" customHeight="1" x14ac:dyDescent="0.25">
      <c r="A61" s="27">
        <v>6</v>
      </c>
      <c r="B61" s="5" t="s">
        <v>381</v>
      </c>
      <c r="C61" s="83" t="s">
        <v>371</v>
      </c>
      <c r="D61" s="113"/>
      <c r="E61" s="16">
        <f t="shared" ref="E61:E73" si="17">C61*4.9*$P$2*1.2*$G$2*1.73/1000*1.15</f>
        <v>590.82062129999997</v>
      </c>
      <c r="F61" s="33">
        <f t="shared" si="12"/>
        <v>0</v>
      </c>
      <c r="I61" s="33">
        <f t="shared" ref="I61:I73" si="18">C61*4.9*$P$2*$G$2/1000*1.15</f>
        <v>284.59567499999997</v>
      </c>
      <c r="J61" s="28">
        <f t="shared" si="13"/>
        <v>0</v>
      </c>
      <c r="K61" s="33">
        <f t="shared" si="16"/>
        <v>341.51480999999995</v>
      </c>
      <c r="L61" s="28">
        <f t="shared" si="14"/>
        <v>443.11546597500001</v>
      </c>
      <c r="M61" s="86">
        <f t="shared" si="15"/>
        <v>0.29750000000000021</v>
      </c>
    </row>
    <row r="62" spans="1:13" ht="24.95" customHeight="1" x14ac:dyDescent="0.25">
      <c r="A62" s="27">
        <v>7</v>
      </c>
      <c r="B62" s="5" t="s">
        <v>310</v>
      </c>
      <c r="C62" s="83" t="s">
        <v>290</v>
      </c>
      <c r="D62" s="113"/>
      <c r="E62" s="16">
        <f t="shared" si="17"/>
        <v>899.22898561859984</v>
      </c>
      <c r="F62" s="33">
        <f t="shared" si="12"/>
        <v>0</v>
      </c>
      <c r="I62" s="33">
        <f t="shared" si="18"/>
        <v>433.15461735000002</v>
      </c>
      <c r="J62" s="28">
        <f t="shared" si="13"/>
        <v>0</v>
      </c>
      <c r="K62" s="33">
        <f t="shared" si="16"/>
        <v>519.78554082000005</v>
      </c>
      <c r="L62" s="28">
        <f t="shared" si="14"/>
        <v>674.42173921394988</v>
      </c>
      <c r="M62" s="86">
        <f t="shared" si="15"/>
        <v>0.29749999999999965</v>
      </c>
    </row>
    <row r="63" spans="1:13" ht="24.95" customHeight="1" x14ac:dyDescent="0.25">
      <c r="A63" s="27">
        <v>8</v>
      </c>
      <c r="B63" s="5" t="s">
        <v>310</v>
      </c>
      <c r="C63" s="83" t="s">
        <v>291</v>
      </c>
      <c r="D63" s="113"/>
      <c r="E63" s="16">
        <f t="shared" si="17"/>
        <v>1106.0162030736001</v>
      </c>
      <c r="F63" s="33">
        <f t="shared" si="12"/>
        <v>0</v>
      </c>
      <c r="I63" s="33">
        <f t="shared" si="18"/>
        <v>532.76310360000014</v>
      </c>
      <c r="J63" s="28">
        <f t="shared" si="13"/>
        <v>0</v>
      </c>
      <c r="K63" s="33">
        <f t="shared" si="16"/>
        <v>639.31572432000019</v>
      </c>
      <c r="L63" s="28">
        <f t="shared" si="14"/>
        <v>829.51215230520006</v>
      </c>
      <c r="M63" s="86">
        <f t="shared" si="15"/>
        <v>0.29749999999999971</v>
      </c>
    </row>
    <row r="64" spans="1:13" ht="24.95" customHeight="1" x14ac:dyDescent="0.25">
      <c r="A64" s="27">
        <v>9</v>
      </c>
      <c r="B64" s="5" t="s">
        <v>310</v>
      </c>
      <c r="C64" s="83" t="s">
        <v>292</v>
      </c>
      <c r="D64" s="113"/>
      <c r="E64" s="16">
        <f t="shared" si="17"/>
        <v>1312.8034205286001</v>
      </c>
      <c r="F64" s="33">
        <f>E64*D64</f>
        <v>0</v>
      </c>
      <c r="I64" s="33">
        <f t="shared" si="18"/>
        <v>632.37158985000019</v>
      </c>
      <c r="J64" s="28">
        <f t="shared" si="13"/>
        <v>0</v>
      </c>
      <c r="K64" s="33">
        <f t="shared" si="16"/>
        <v>758.84590782000021</v>
      </c>
      <c r="L64" s="28">
        <f t="shared" si="14"/>
        <v>984.60256539645002</v>
      </c>
      <c r="M64" s="86">
        <f t="shared" si="15"/>
        <v>0.29749999999999965</v>
      </c>
    </row>
    <row r="65" spans="1:13" ht="24.95" customHeight="1" x14ac:dyDescent="0.25">
      <c r="A65" s="27">
        <v>10</v>
      </c>
      <c r="B65" s="5" t="s">
        <v>310</v>
      </c>
      <c r="C65" s="83" t="s">
        <v>293</v>
      </c>
      <c r="D65" s="113"/>
      <c r="E65" s="16">
        <f t="shared" si="17"/>
        <v>1519.5906379836001</v>
      </c>
      <c r="F65" s="33">
        <f t="shared" si="12"/>
        <v>0</v>
      </c>
      <c r="I65" s="33">
        <f t="shared" si="18"/>
        <v>731.98007610000002</v>
      </c>
      <c r="J65" s="28">
        <f t="shared" si="13"/>
        <v>0</v>
      </c>
      <c r="K65" s="33">
        <f t="shared" si="16"/>
        <v>878.37609132</v>
      </c>
      <c r="L65" s="28">
        <f t="shared" si="14"/>
        <v>1139.6929784877002</v>
      </c>
      <c r="M65" s="86">
        <f t="shared" si="15"/>
        <v>0.29750000000000021</v>
      </c>
    </row>
    <row r="66" spans="1:13" ht="24.95" customHeight="1" x14ac:dyDescent="0.25">
      <c r="A66" s="27">
        <v>11</v>
      </c>
      <c r="B66" s="5" t="s">
        <v>310</v>
      </c>
      <c r="C66" s="83" t="s">
        <v>294</v>
      </c>
      <c r="D66" s="113"/>
      <c r="E66" s="16">
        <f t="shared" si="17"/>
        <v>1726.3778554386004</v>
      </c>
      <c r="F66" s="33">
        <f>E66*D66</f>
        <v>0</v>
      </c>
      <c r="I66" s="33">
        <f t="shared" si="18"/>
        <v>831.58856235000007</v>
      </c>
      <c r="J66" s="28">
        <f t="shared" si="13"/>
        <v>0</v>
      </c>
      <c r="K66" s="33">
        <f t="shared" si="16"/>
        <v>997.90627482000002</v>
      </c>
      <c r="L66" s="28">
        <f t="shared" si="14"/>
        <v>1294.7833915789504</v>
      </c>
      <c r="M66" s="86">
        <f t="shared" si="15"/>
        <v>0.29750000000000038</v>
      </c>
    </row>
    <row r="67" spans="1:13" ht="24.95" customHeight="1" x14ac:dyDescent="0.25">
      <c r="A67" s="27">
        <v>12</v>
      </c>
      <c r="B67" s="5" t="s">
        <v>310</v>
      </c>
      <c r="C67" s="83" t="s">
        <v>295</v>
      </c>
      <c r="D67" s="113"/>
      <c r="E67" s="16">
        <f t="shared" si="17"/>
        <v>1906.5781449351</v>
      </c>
      <c r="F67" s="33">
        <f t="shared" si="12"/>
        <v>0</v>
      </c>
      <c r="I67" s="33">
        <f t="shared" si="18"/>
        <v>918.39024322500006</v>
      </c>
      <c r="J67" s="28">
        <f t="shared" si="13"/>
        <v>0</v>
      </c>
      <c r="K67" s="33">
        <f t="shared" si="16"/>
        <v>1102.0682918699999</v>
      </c>
      <c r="L67" s="28">
        <f t="shared" si="14"/>
        <v>1429.9336087013251</v>
      </c>
      <c r="M67" s="86">
        <f t="shared" si="15"/>
        <v>0.2975000000000001</v>
      </c>
    </row>
    <row r="68" spans="1:13" ht="24.95" customHeight="1" x14ac:dyDescent="0.25">
      <c r="A68" s="27">
        <v>13</v>
      </c>
      <c r="B68" s="5" t="s">
        <v>310</v>
      </c>
      <c r="C68" s="83" t="s">
        <v>296</v>
      </c>
      <c r="D68" s="113"/>
      <c r="E68" s="16">
        <f t="shared" si="17"/>
        <v>2139.9522903486004</v>
      </c>
      <c r="F68" s="33">
        <f>E68*D68</f>
        <v>0</v>
      </c>
      <c r="I68" s="33">
        <f t="shared" si="18"/>
        <v>1030.80553485</v>
      </c>
      <c r="J68" s="28">
        <f t="shared" si="13"/>
        <v>0</v>
      </c>
      <c r="K68" s="33">
        <f t="shared" si="16"/>
        <v>1236.9666418199999</v>
      </c>
      <c r="L68" s="28">
        <f t="shared" si="14"/>
        <v>1604.9642177614503</v>
      </c>
      <c r="M68" s="86">
        <f t="shared" si="15"/>
        <v>0.29750000000000032</v>
      </c>
    </row>
    <row r="69" spans="1:13" ht="24.95" customHeight="1" x14ac:dyDescent="0.25">
      <c r="A69" s="27">
        <v>14</v>
      </c>
      <c r="B69" s="5" t="s">
        <v>310</v>
      </c>
      <c r="C69" s="83" t="s">
        <v>297</v>
      </c>
      <c r="D69" s="113"/>
      <c r="E69" s="16">
        <f t="shared" si="17"/>
        <v>2345.5578665610001</v>
      </c>
      <c r="F69" s="33">
        <f t="shared" si="12"/>
        <v>0</v>
      </c>
      <c r="I69" s="33">
        <f t="shared" si="18"/>
        <v>1129.8448297500001</v>
      </c>
      <c r="J69" s="28">
        <f t="shared" si="13"/>
        <v>0</v>
      </c>
      <c r="K69" s="33">
        <f t="shared" si="16"/>
        <v>1355.8137957000001</v>
      </c>
      <c r="L69" s="28">
        <f t="shared" si="14"/>
        <v>1759.1683999207501</v>
      </c>
      <c r="M69" s="86">
        <f t="shared" si="15"/>
        <v>0.29749999999999993</v>
      </c>
    </row>
    <row r="70" spans="1:13" ht="24.95" customHeight="1" x14ac:dyDescent="0.25">
      <c r="A70" s="27">
        <v>15</v>
      </c>
      <c r="B70" s="5" t="s">
        <v>310</v>
      </c>
      <c r="C70" s="83" t="s">
        <v>298</v>
      </c>
      <c r="D70" s="113"/>
      <c r="E70" s="16">
        <f t="shared" si="17"/>
        <v>2553.5267252586</v>
      </c>
      <c r="F70" s="33">
        <f>E70*D70</f>
        <v>0</v>
      </c>
      <c r="I70" s="33">
        <f t="shared" si="18"/>
        <v>1230.0225073499998</v>
      </c>
      <c r="J70" s="28">
        <f t="shared" si="13"/>
        <v>0</v>
      </c>
      <c r="K70" s="33">
        <f t="shared" si="16"/>
        <v>1476.0270088199998</v>
      </c>
      <c r="L70" s="28">
        <f t="shared" si="14"/>
        <v>1915.14504394395</v>
      </c>
      <c r="M70" s="86">
        <f t="shared" si="15"/>
        <v>0.29750000000000021</v>
      </c>
    </row>
    <row r="71" spans="1:13" ht="24.95" customHeight="1" x14ac:dyDescent="0.25">
      <c r="A71" s="27">
        <v>16</v>
      </c>
      <c r="B71" s="5" t="s">
        <v>310</v>
      </c>
      <c r="C71" s="83" t="s">
        <v>299</v>
      </c>
      <c r="D71" s="113"/>
      <c r="E71" s="16">
        <f t="shared" si="17"/>
        <v>2760.3139427136002</v>
      </c>
      <c r="F71" s="33">
        <f t="shared" si="12"/>
        <v>0</v>
      </c>
      <c r="I71" s="33">
        <f t="shared" si="18"/>
        <v>1329.6309936</v>
      </c>
      <c r="J71" s="28">
        <f t="shared" si="13"/>
        <v>0</v>
      </c>
      <c r="K71" s="33">
        <f t="shared" si="16"/>
        <v>1595.55719232</v>
      </c>
      <c r="L71" s="28">
        <f t="shared" si="14"/>
        <v>2070.2354570351999</v>
      </c>
      <c r="M71" s="86">
        <f t="shared" si="15"/>
        <v>0.29749999999999993</v>
      </c>
    </row>
    <row r="72" spans="1:13" ht="24.95" customHeight="1" x14ac:dyDescent="0.25">
      <c r="A72" s="27">
        <v>17</v>
      </c>
      <c r="B72" s="5" t="s">
        <v>310</v>
      </c>
      <c r="C72" s="83" t="s">
        <v>300</v>
      </c>
      <c r="D72" s="113"/>
      <c r="E72" s="16">
        <f t="shared" si="17"/>
        <v>2967.1011601686009</v>
      </c>
      <c r="F72" s="33">
        <f>E72*D72</f>
        <v>0</v>
      </c>
      <c r="I72" s="33">
        <f t="shared" si="18"/>
        <v>1429.2394798500002</v>
      </c>
      <c r="J72" s="28">
        <f t="shared" si="13"/>
        <v>0</v>
      </c>
      <c r="K72" s="33">
        <f t="shared" si="16"/>
        <v>1715.0873758200003</v>
      </c>
      <c r="L72" s="28">
        <f t="shared" si="14"/>
        <v>2225.3258701264504</v>
      </c>
      <c r="M72" s="86">
        <f t="shared" si="15"/>
        <v>0.29749999999999999</v>
      </c>
    </row>
    <row r="73" spans="1:13" ht="24.95" customHeight="1" x14ac:dyDescent="0.25">
      <c r="A73" s="27">
        <v>18</v>
      </c>
      <c r="B73" s="5" t="s">
        <v>310</v>
      </c>
      <c r="C73" s="83" t="s">
        <v>301</v>
      </c>
      <c r="D73" s="113"/>
      <c r="E73" s="16">
        <f t="shared" si="17"/>
        <v>3173.8883776236003</v>
      </c>
      <c r="F73" s="33">
        <f t="shared" si="12"/>
        <v>0</v>
      </c>
      <c r="I73" s="33">
        <f t="shared" si="18"/>
        <v>1528.8479661000003</v>
      </c>
      <c r="J73" s="28">
        <f t="shared" si="13"/>
        <v>0</v>
      </c>
      <c r="K73" s="33">
        <f t="shared" si="16"/>
        <v>1834.6175593200003</v>
      </c>
      <c r="L73" s="28">
        <f t="shared" si="14"/>
        <v>2380.4162832176999</v>
      </c>
      <c r="M73" s="86">
        <f t="shared" si="15"/>
        <v>0.29749999999999971</v>
      </c>
    </row>
    <row r="74" spans="1:13" ht="24.95" customHeight="1" x14ac:dyDescent="0.25">
      <c r="A74" s="259"/>
      <c r="B74" s="260"/>
      <c r="C74" s="261"/>
      <c r="D74" s="66" t="s">
        <v>5</v>
      </c>
      <c r="E74" s="69"/>
      <c r="F74" s="68">
        <f>SUBTOTAL(9,F55:F73)</f>
        <v>78615.265878342776</v>
      </c>
      <c r="I74" s="68">
        <f>SUBTOTAL(9,I55:I73)</f>
        <v>13058.805378475001</v>
      </c>
      <c r="J74" s="68">
        <f>SUBTOTAL(9,J55:J73)</f>
        <v>32929.239288909601</v>
      </c>
      <c r="K74" s="68">
        <f>SUBTOTAL(9,K55:K73)</f>
        <v>15670.566454170001</v>
      </c>
      <c r="L74" s="68">
        <f>SUBTOTAL(9,L55:L73)</f>
        <v>20400.362209437826</v>
      </c>
      <c r="M74" s="88"/>
    </row>
    <row r="75" spans="1:13" ht="24.95" customHeight="1" x14ac:dyDescent="0.25">
      <c r="A75" s="254" t="s">
        <v>150</v>
      </c>
      <c r="B75" s="255"/>
      <c r="C75" s="73"/>
      <c r="D75" s="74">
        <v>1004</v>
      </c>
      <c r="E75" s="75"/>
      <c r="F75" s="76"/>
      <c r="I75" s="76"/>
      <c r="J75" s="76"/>
      <c r="K75" s="76"/>
      <c r="L75" s="76"/>
      <c r="M75" s="89"/>
    </row>
    <row r="76" spans="1:13" ht="24.95" customHeight="1" x14ac:dyDescent="0.25">
      <c r="A76" s="27">
        <v>1</v>
      </c>
      <c r="B76" s="5" t="s">
        <v>289</v>
      </c>
      <c r="C76" s="4" t="s">
        <v>279</v>
      </c>
      <c r="D76" s="3">
        <f>'BİNA BİLGİLERİ'!B39</f>
        <v>1</v>
      </c>
      <c r="E76" s="16">
        <f>K76*1.73</f>
        <v>13494</v>
      </c>
      <c r="F76" s="28">
        <f>E76*D76</f>
        <v>13494</v>
      </c>
      <c r="I76" s="28">
        <v>6500</v>
      </c>
      <c r="J76" s="28">
        <f t="shared" ref="J76:J94" si="19">I76*D76</f>
        <v>6500</v>
      </c>
      <c r="K76" s="28">
        <f>I76*1.2</f>
        <v>7800</v>
      </c>
      <c r="L76" s="28">
        <f t="shared" ref="L76:L94" si="20">E76-E76*$E$223/100</f>
        <v>10120.5</v>
      </c>
      <c r="M76" s="86">
        <f>(L76-K76)/K76</f>
        <v>0.29749999999999999</v>
      </c>
    </row>
    <row r="77" spans="1:13" ht="24.95" customHeight="1" x14ac:dyDescent="0.25">
      <c r="A77" s="27">
        <v>2</v>
      </c>
      <c r="B77" s="5" t="s">
        <v>266</v>
      </c>
      <c r="C77" s="6" t="s">
        <v>98</v>
      </c>
      <c r="D77" s="3">
        <f>'BİNA BİLGİLERİ'!B40</f>
        <v>0</v>
      </c>
      <c r="E77" s="16">
        <f>K77*1.73</f>
        <v>8978.7000000000007</v>
      </c>
      <c r="F77" s="28">
        <f>E77*D77</f>
        <v>0</v>
      </c>
      <c r="I77" s="28">
        <v>4325</v>
      </c>
      <c r="J77" s="28">
        <f t="shared" si="19"/>
        <v>0</v>
      </c>
      <c r="K77" s="28">
        <f>I77*1.2</f>
        <v>5190</v>
      </c>
      <c r="L77" s="28">
        <f t="shared" si="20"/>
        <v>6734.0250000000005</v>
      </c>
      <c r="M77" s="86">
        <f>(L77-K77)/K77</f>
        <v>0.2975000000000001</v>
      </c>
    </row>
    <row r="78" spans="1:13" ht="24.95" customHeight="1" x14ac:dyDescent="0.25">
      <c r="A78" s="27">
        <v>3</v>
      </c>
      <c r="B78" s="5" t="s">
        <v>119</v>
      </c>
      <c r="C78" s="6" t="s">
        <v>18</v>
      </c>
      <c r="D78" s="3">
        <f>'BİNA BİLGİLERİ'!B41</f>
        <v>0</v>
      </c>
      <c r="E78" s="16">
        <f>K78*1.73</f>
        <v>16161.66</v>
      </c>
      <c r="F78" s="28">
        <f>E78*D78</f>
        <v>0</v>
      </c>
      <c r="I78" s="28">
        <f>4325*1.8</f>
        <v>7785</v>
      </c>
      <c r="J78" s="28">
        <f t="shared" si="19"/>
        <v>0</v>
      </c>
      <c r="K78" s="28">
        <f>I78*1.2</f>
        <v>9342</v>
      </c>
      <c r="L78" s="28">
        <f t="shared" si="20"/>
        <v>12121.244999999999</v>
      </c>
      <c r="M78" s="86">
        <f>(L78-K78)/K78</f>
        <v>0.29749999999999988</v>
      </c>
    </row>
    <row r="79" spans="1:13" ht="24.95" customHeight="1" x14ac:dyDescent="0.25">
      <c r="A79" s="27">
        <v>4</v>
      </c>
      <c r="B79" s="5" t="s">
        <v>267</v>
      </c>
      <c r="C79" s="6" t="s">
        <v>275</v>
      </c>
      <c r="D79" s="3">
        <f>'BİNA BİLGİLERİ'!B42</f>
        <v>6</v>
      </c>
      <c r="E79" s="16">
        <f>K79*1.73</f>
        <v>11210.4</v>
      </c>
      <c r="F79" s="28">
        <f>E79*D79</f>
        <v>67262.399999999994</v>
      </c>
      <c r="I79" s="28">
        <v>5400</v>
      </c>
      <c r="J79" s="28">
        <f t="shared" si="19"/>
        <v>32400</v>
      </c>
      <c r="K79" s="28">
        <f>I79*1.2</f>
        <v>6480</v>
      </c>
      <c r="L79" s="28">
        <f t="shared" si="20"/>
        <v>8407.7999999999993</v>
      </c>
      <c r="M79" s="86">
        <f>(L79-K79)/K79</f>
        <v>0.29749999999999988</v>
      </c>
    </row>
    <row r="80" spans="1:13" ht="24.95" customHeight="1" x14ac:dyDescent="0.25">
      <c r="A80" s="27">
        <v>5</v>
      </c>
      <c r="B80" s="5" t="s">
        <v>259</v>
      </c>
      <c r="C80" s="6" t="s">
        <v>275</v>
      </c>
      <c r="D80" s="3">
        <f>'BİNA BİLGİLERİ'!B43</f>
        <v>0</v>
      </c>
      <c r="E80" s="16">
        <f>K80*1.73</f>
        <v>9549.6</v>
      </c>
      <c r="F80" s="28">
        <f>E80*D80</f>
        <v>0</v>
      </c>
      <c r="I80" s="28">
        <v>4600</v>
      </c>
      <c r="J80" s="28">
        <f t="shared" si="19"/>
        <v>0</v>
      </c>
      <c r="K80" s="28">
        <f>I80*1.2</f>
        <v>5520</v>
      </c>
      <c r="L80" s="28">
        <f t="shared" si="20"/>
        <v>7162.2000000000007</v>
      </c>
      <c r="M80" s="86">
        <f>(L80-K80)/K80</f>
        <v>0.29750000000000015</v>
      </c>
    </row>
    <row r="81" spans="1:17" ht="24.95" customHeight="1" x14ac:dyDescent="0.25">
      <c r="A81" s="29"/>
      <c r="B81" s="7"/>
      <c r="C81" s="37"/>
      <c r="D81" s="30" t="s">
        <v>302</v>
      </c>
      <c r="E81" s="8"/>
      <c r="F81" s="31"/>
      <c r="I81" s="31"/>
      <c r="J81" s="31"/>
      <c r="K81" s="31"/>
      <c r="L81" s="31"/>
      <c r="M81" s="87"/>
    </row>
    <row r="82" spans="1:17" ht="24.95" customHeight="1" x14ac:dyDescent="0.25">
      <c r="A82" s="27">
        <v>6</v>
      </c>
      <c r="B82" s="5" t="s">
        <v>159</v>
      </c>
      <c r="C82" s="6" t="s">
        <v>280</v>
      </c>
      <c r="D82" s="3">
        <f>'BİNA BİLGİLERİ'!B46</f>
        <v>0</v>
      </c>
      <c r="E82" s="16">
        <f>IF('BİNA BİLGİLERİ'!$C$46="BEYAZ",K82*1.73,K82*1.73*1.4)</f>
        <v>12320.229600000001</v>
      </c>
      <c r="F82" s="28">
        <f t="shared" ref="F82:F87" si="21">E82*D82</f>
        <v>0</v>
      </c>
      <c r="I82" s="28">
        <v>4239</v>
      </c>
      <c r="J82" s="28">
        <f t="shared" si="19"/>
        <v>0</v>
      </c>
      <c r="K82" s="28">
        <f t="shared" ref="K82:K93" si="22">I82*1.2</f>
        <v>5086.8</v>
      </c>
      <c r="L82" s="28">
        <f t="shared" si="20"/>
        <v>9240.1722000000009</v>
      </c>
      <c r="M82" s="86">
        <f t="shared" ref="M82:M94" si="23">(L82-K82)/K82</f>
        <v>0.81650000000000011</v>
      </c>
      <c r="N82">
        <f>1.05+1.8+1.05+1.8</f>
        <v>5.7</v>
      </c>
      <c r="O82">
        <f>N82*D82</f>
        <v>0</v>
      </c>
      <c r="P82">
        <f>ROUNDUP(O82,0)</f>
        <v>0</v>
      </c>
      <c r="Q82">
        <f>SUM(P82:P93)/2.5</f>
        <v>16</v>
      </c>
    </row>
    <row r="83" spans="1:17" ht="24.95" customHeight="1" x14ac:dyDescent="0.25">
      <c r="A83" s="27">
        <v>7</v>
      </c>
      <c r="B83" s="5" t="s">
        <v>268</v>
      </c>
      <c r="C83" s="6" t="s">
        <v>281</v>
      </c>
      <c r="D83" s="3">
        <f>'BİNA BİLGİLERİ'!B47</f>
        <v>0</v>
      </c>
      <c r="E83" s="16">
        <f>IF('BİNA BİLGİLERİ'!$C$46="BEYAZ",K83*1.73,K83*1.73*1.4)</f>
        <v>6051.1247999999996</v>
      </c>
      <c r="F83" s="28">
        <f t="shared" si="21"/>
        <v>0</v>
      </c>
      <c r="I83" s="28">
        <v>2082</v>
      </c>
      <c r="J83" s="28">
        <f t="shared" si="19"/>
        <v>0</v>
      </c>
      <c r="K83" s="28">
        <f t="shared" si="22"/>
        <v>2498.4</v>
      </c>
      <c r="L83" s="28">
        <f t="shared" si="20"/>
        <v>4538.3436000000002</v>
      </c>
      <c r="M83" s="86">
        <f t="shared" si="23"/>
        <v>0.8165</v>
      </c>
      <c r="N83">
        <f>0.6+1.8+1.8+0.6</f>
        <v>4.8</v>
      </c>
      <c r="O83">
        <f t="shared" ref="O83:O93" si="24">N83*D83</f>
        <v>0</v>
      </c>
      <c r="P83">
        <f t="shared" ref="P83:P93" si="25">ROUNDUP(O83,0)</f>
        <v>0</v>
      </c>
    </row>
    <row r="84" spans="1:17" ht="24.95" customHeight="1" x14ac:dyDescent="0.25">
      <c r="A84" s="27">
        <v>8</v>
      </c>
      <c r="B84" s="5" t="s">
        <v>159</v>
      </c>
      <c r="C84" s="6" t="s">
        <v>282</v>
      </c>
      <c r="D84" s="3">
        <f>'BİNA BİLGİLERİ'!B48</f>
        <v>1</v>
      </c>
      <c r="E84" s="16">
        <f>IF('BİNA BİLGİLERİ'!$C$46="BEYAZ",K84*1.73,K84*1.73*1.4)</f>
        <v>7277.6255999999985</v>
      </c>
      <c r="F84" s="28">
        <f t="shared" si="21"/>
        <v>7277.6255999999985</v>
      </c>
      <c r="I84" s="28">
        <v>2504</v>
      </c>
      <c r="J84" s="28">
        <f t="shared" si="19"/>
        <v>2504</v>
      </c>
      <c r="K84" s="28">
        <f t="shared" si="22"/>
        <v>3004.7999999999997</v>
      </c>
      <c r="L84" s="28">
        <f t="shared" si="20"/>
        <v>5458.2191999999986</v>
      </c>
      <c r="M84" s="86">
        <f t="shared" si="23"/>
        <v>0.81649999999999967</v>
      </c>
      <c r="N84">
        <f>0.8+1.2+0.8+1.2</f>
        <v>4</v>
      </c>
      <c r="O84">
        <f t="shared" si="24"/>
        <v>4</v>
      </c>
      <c r="P84">
        <f t="shared" si="25"/>
        <v>4</v>
      </c>
    </row>
    <row r="85" spans="1:17" ht="24.95" customHeight="1" x14ac:dyDescent="0.25">
      <c r="A85" s="27">
        <v>9</v>
      </c>
      <c r="B85" s="5" t="s">
        <v>159</v>
      </c>
      <c r="C85" s="6" t="s">
        <v>283</v>
      </c>
      <c r="D85" s="3">
        <f>'BİNA BİLGİLERİ'!B49</f>
        <v>2</v>
      </c>
      <c r="E85" s="16">
        <f>IF('BİNA BİLGİLERİ'!$C$46="BEYAZ",K85*1.73,K85*1.73*1.4)</f>
        <v>9547.5239999999994</v>
      </c>
      <c r="F85" s="28">
        <f t="shared" si="21"/>
        <v>19095.047999999999</v>
      </c>
      <c r="I85" s="28">
        <v>3285</v>
      </c>
      <c r="J85" s="28">
        <f t="shared" si="19"/>
        <v>6570</v>
      </c>
      <c r="K85" s="28">
        <f t="shared" si="22"/>
        <v>3942</v>
      </c>
      <c r="L85" s="28">
        <f t="shared" si="20"/>
        <v>7160.643</v>
      </c>
      <c r="M85" s="86">
        <f t="shared" si="23"/>
        <v>0.8165</v>
      </c>
      <c r="N85">
        <f>1.4+1.4+2</f>
        <v>4.8</v>
      </c>
      <c r="O85">
        <f t="shared" si="24"/>
        <v>9.6</v>
      </c>
      <c r="P85">
        <f t="shared" si="25"/>
        <v>10</v>
      </c>
    </row>
    <row r="86" spans="1:17" ht="21" customHeight="1" x14ac:dyDescent="0.25">
      <c r="A86" s="27">
        <v>10</v>
      </c>
      <c r="B86" s="5" t="s">
        <v>159</v>
      </c>
      <c r="C86" s="6" t="s">
        <v>284</v>
      </c>
      <c r="D86" s="3">
        <f>'BİNA BİLGİLERİ'!B50</f>
        <v>0</v>
      </c>
      <c r="E86" s="16">
        <f>IF('BİNA BİLGİLERİ'!$C$46="BEYAZ",K86*1.73,K86*1.73*1.4)</f>
        <v>12203.973599999999</v>
      </c>
      <c r="F86" s="28">
        <f t="shared" si="21"/>
        <v>0</v>
      </c>
      <c r="I86" s="28">
        <v>4199</v>
      </c>
      <c r="J86" s="28">
        <f t="shared" si="19"/>
        <v>0</v>
      </c>
      <c r="K86" s="28">
        <f t="shared" si="22"/>
        <v>5038.8</v>
      </c>
      <c r="L86" s="28">
        <f t="shared" si="20"/>
        <v>9152.9802</v>
      </c>
      <c r="M86" s="86">
        <f t="shared" si="23"/>
        <v>0.81649999999999989</v>
      </c>
      <c r="N86">
        <f>1.4*4</f>
        <v>5.6</v>
      </c>
      <c r="O86">
        <f t="shared" si="24"/>
        <v>0</v>
      </c>
      <c r="P86">
        <f t="shared" si="25"/>
        <v>0</v>
      </c>
    </row>
    <row r="87" spans="1:17" ht="24.95" customHeight="1" x14ac:dyDescent="0.25">
      <c r="A87" s="27">
        <v>11</v>
      </c>
      <c r="B87" s="5" t="s">
        <v>159</v>
      </c>
      <c r="C87" s="6" t="s">
        <v>285</v>
      </c>
      <c r="D87" s="3">
        <f>'BİNA BİLGİLERİ'!B51</f>
        <v>0</v>
      </c>
      <c r="E87" s="16">
        <f>IF('BİNA BİLGİLERİ'!$C$46="BEYAZ",K87*1.73,K87*1.73*1.4)</f>
        <v>13532.198399999999</v>
      </c>
      <c r="F87" s="28">
        <f t="shared" si="21"/>
        <v>0</v>
      </c>
      <c r="I87" s="28">
        <v>4656</v>
      </c>
      <c r="J87" s="28">
        <f t="shared" si="19"/>
        <v>0</v>
      </c>
      <c r="K87" s="28">
        <f t="shared" si="22"/>
        <v>5587.2</v>
      </c>
      <c r="L87" s="28">
        <f t="shared" si="20"/>
        <v>10149.148799999999</v>
      </c>
      <c r="M87" s="86">
        <f t="shared" si="23"/>
        <v>0.81649999999999989</v>
      </c>
      <c r="N87">
        <f>1.4+1.6+1.4+1.6</f>
        <v>6</v>
      </c>
      <c r="O87">
        <f t="shared" si="24"/>
        <v>0</v>
      </c>
      <c r="P87">
        <f t="shared" si="25"/>
        <v>0</v>
      </c>
    </row>
    <row r="88" spans="1:17" ht="24.95" customHeight="1" x14ac:dyDescent="0.25">
      <c r="A88" s="27">
        <v>12</v>
      </c>
      <c r="B88" s="5" t="s">
        <v>159</v>
      </c>
      <c r="C88" s="6" t="s">
        <v>168</v>
      </c>
      <c r="D88" s="3">
        <f>'BİNA BİLGİLERİ'!B52</f>
        <v>0</v>
      </c>
      <c r="E88" s="16">
        <f>IF('BİNA BİLGİLERİ'!$C$46="BEYAZ",K88*1.73,K88*1.73*1.4)</f>
        <v>14863.329599999999</v>
      </c>
      <c r="F88" s="28">
        <f t="shared" ref="F88:F94" si="26">E88*D88</f>
        <v>0</v>
      </c>
      <c r="I88" s="28">
        <v>5114</v>
      </c>
      <c r="J88" s="28">
        <f t="shared" si="19"/>
        <v>0</v>
      </c>
      <c r="K88" s="28">
        <f t="shared" si="22"/>
        <v>6136.8</v>
      </c>
      <c r="L88" s="28">
        <f t="shared" si="20"/>
        <v>11147.4972</v>
      </c>
      <c r="M88" s="86">
        <f t="shared" si="23"/>
        <v>0.81649999999999989</v>
      </c>
      <c r="N88">
        <f>1.4+1.8+1.4+1.8</f>
        <v>6.3999999999999995</v>
      </c>
      <c r="O88">
        <f t="shared" si="24"/>
        <v>0</v>
      </c>
      <c r="P88">
        <f t="shared" si="25"/>
        <v>0</v>
      </c>
    </row>
    <row r="89" spans="1:17" ht="24.95" customHeight="1" x14ac:dyDescent="0.25">
      <c r="A89" s="27">
        <v>13</v>
      </c>
      <c r="B89" s="5" t="s">
        <v>159</v>
      </c>
      <c r="C89" s="6" t="s">
        <v>19</v>
      </c>
      <c r="D89" s="3">
        <f>'BİNA BİLGİLERİ'!B53</f>
        <v>0</v>
      </c>
      <c r="E89" s="16">
        <f>IF('BİNA BİLGİLERİ'!$C$46="BEYAZ",K89*1.73,K89*1.73*1.4)</f>
        <v>12424.859999999999</v>
      </c>
      <c r="F89" s="28">
        <f t="shared" si="26"/>
        <v>0</v>
      </c>
      <c r="I89" s="28">
        <v>4275</v>
      </c>
      <c r="J89" s="28">
        <f t="shared" si="19"/>
        <v>0</v>
      </c>
      <c r="K89" s="28">
        <f t="shared" si="22"/>
        <v>5130</v>
      </c>
      <c r="L89" s="28">
        <f t="shared" si="20"/>
        <v>9318.6450000000004</v>
      </c>
      <c r="M89" s="86">
        <f t="shared" si="23"/>
        <v>0.81650000000000011</v>
      </c>
      <c r="N89">
        <f>1.6+1.2+1.6+1.2</f>
        <v>5.6000000000000005</v>
      </c>
      <c r="O89">
        <f t="shared" si="24"/>
        <v>0</v>
      </c>
      <c r="P89">
        <f t="shared" si="25"/>
        <v>0</v>
      </c>
    </row>
    <row r="90" spans="1:17" ht="24.95" customHeight="1" x14ac:dyDescent="0.25">
      <c r="A90" s="27">
        <v>14</v>
      </c>
      <c r="B90" s="5" t="s">
        <v>159</v>
      </c>
      <c r="C90" s="6" t="s">
        <v>21</v>
      </c>
      <c r="D90" s="3">
        <f>'BİNA BİLGİLERİ'!B54</f>
        <v>0</v>
      </c>
      <c r="E90" s="16">
        <f>IF('BİNA BİLGİLERİ'!$C$46="BEYAZ",K90*1.73,K90*1.73*1.4)</f>
        <v>15555.052799999998</v>
      </c>
      <c r="F90" s="28">
        <f t="shared" si="26"/>
        <v>0</v>
      </c>
      <c r="I90" s="28">
        <v>5352</v>
      </c>
      <c r="J90" s="28">
        <f t="shared" si="19"/>
        <v>0</v>
      </c>
      <c r="K90" s="28">
        <f t="shared" si="22"/>
        <v>6422.4</v>
      </c>
      <c r="L90" s="28">
        <f t="shared" si="20"/>
        <v>11666.289599999998</v>
      </c>
      <c r="M90" s="86">
        <f t="shared" si="23"/>
        <v>0.81649999999999978</v>
      </c>
      <c r="N90">
        <f>1.6+1.6+1.6+1.6</f>
        <v>6.4</v>
      </c>
      <c r="O90">
        <f t="shared" si="24"/>
        <v>0</v>
      </c>
      <c r="P90">
        <f t="shared" si="25"/>
        <v>0</v>
      </c>
    </row>
    <row r="91" spans="1:17" ht="24.95" customHeight="1" x14ac:dyDescent="0.25">
      <c r="A91" s="27">
        <v>15</v>
      </c>
      <c r="B91" s="5" t="s">
        <v>159</v>
      </c>
      <c r="C91" s="6" t="s">
        <v>20</v>
      </c>
      <c r="D91" s="3">
        <f>'BİNA BİLGİLERİ'!B55</f>
        <v>3</v>
      </c>
      <c r="E91" s="16">
        <f>IF('BİNA BİLGİLERİ'!$C$46="BEYAZ",K91*1.73,K91*1.73*1.4)</f>
        <v>17118.696</v>
      </c>
      <c r="F91" s="28">
        <f t="shared" si="26"/>
        <v>51356.088000000003</v>
      </c>
      <c r="I91" s="28">
        <v>5890</v>
      </c>
      <c r="J91" s="28">
        <f t="shared" si="19"/>
        <v>17670</v>
      </c>
      <c r="K91" s="28">
        <f t="shared" si="22"/>
        <v>7068</v>
      </c>
      <c r="L91" s="28">
        <f t="shared" si="20"/>
        <v>12839.022000000001</v>
      </c>
      <c r="M91" s="86">
        <f t="shared" si="23"/>
        <v>0.81650000000000011</v>
      </c>
      <c r="N91">
        <f>1.6+1.8+1.6+1.8</f>
        <v>6.8</v>
      </c>
      <c r="O91">
        <f t="shared" si="24"/>
        <v>20.399999999999999</v>
      </c>
      <c r="P91">
        <f t="shared" si="25"/>
        <v>21</v>
      </c>
    </row>
    <row r="92" spans="1:17" ht="22.5" customHeight="1" x14ac:dyDescent="0.25">
      <c r="A92" s="27">
        <v>16</v>
      </c>
      <c r="B92" s="5" t="s">
        <v>309</v>
      </c>
      <c r="C92" s="6" t="s">
        <v>270</v>
      </c>
      <c r="D92" s="3">
        <f>'BİNA BİLGİLERİ'!B56</f>
        <v>0</v>
      </c>
      <c r="E92" s="16">
        <f>IF('BİNA BİLGİLERİ'!$C$46="BEYAZ",K92*1.73,K92*1.73*1.4)</f>
        <v>21766.029599999998</v>
      </c>
      <c r="F92" s="28">
        <f t="shared" si="26"/>
        <v>0</v>
      </c>
      <c r="I92" s="28">
        <v>7489</v>
      </c>
      <c r="J92" s="28">
        <f t="shared" si="19"/>
        <v>0</v>
      </c>
      <c r="K92" s="28">
        <f t="shared" si="22"/>
        <v>8986.7999999999993</v>
      </c>
      <c r="L92" s="28">
        <f t="shared" si="20"/>
        <v>16324.522199999999</v>
      </c>
      <c r="M92" s="86">
        <f t="shared" si="23"/>
        <v>0.81650000000000011</v>
      </c>
      <c r="N92">
        <f>1.8+1.8+4</f>
        <v>7.6</v>
      </c>
      <c r="O92">
        <f t="shared" si="24"/>
        <v>0</v>
      </c>
      <c r="P92">
        <f t="shared" si="25"/>
        <v>0</v>
      </c>
    </row>
    <row r="93" spans="1:17" ht="24.95" customHeight="1" x14ac:dyDescent="0.25">
      <c r="A93" s="27">
        <v>17</v>
      </c>
      <c r="B93" s="5" t="s">
        <v>265</v>
      </c>
      <c r="C93" s="6" t="s">
        <v>161</v>
      </c>
      <c r="D93" s="3">
        <f>'BİNA BİLGİLERİ'!B57</f>
        <v>2</v>
      </c>
      <c r="E93" s="16">
        <f>IF('BİNA BİLGİLERİ'!$C$46="BEYAZ",K93*1.73,K93*1.73*1.4)</f>
        <v>3574.8719999999998</v>
      </c>
      <c r="F93" s="28">
        <f>E93*D93</f>
        <v>7149.7439999999997</v>
      </c>
      <c r="I93" s="28">
        <v>1230</v>
      </c>
      <c r="J93" s="28">
        <f t="shared" si="19"/>
        <v>2460</v>
      </c>
      <c r="K93" s="28">
        <f t="shared" si="22"/>
        <v>1476</v>
      </c>
      <c r="L93" s="28">
        <f t="shared" si="20"/>
        <v>2681.1539999999995</v>
      </c>
      <c r="M93" s="86">
        <f t="shared" si="23"/>
        <v>0.81649999999999967</v>
      </c>
      <c r="N93">
        <f>0.6*4</f>
        <v>2.4</v>
      </c>
      <c r="O93">
        <f t="shared" si="24"/>
        <v>4.8</v>
      </c>
      <c r="P93">
        <f t="shared" si="25"/>
        <v>5</v>
      </c>
    </row>
    <row r="94" spans="1:17" ht="24.95" customHeight="1" x14ac:dyDescent="0.25">
      <c r="A94" s="27">
        <v>18</v>
      </c>
      <c r="B94" s="5" t="s">
        <v>269</v>
      </c>
      <c r="C94" s="6" t="s">
        <v>3</v>
      </c>
      <c r="D94" s="110"/>
      <c r="E94" s="16">
        <v>0</v>
      </c>
      <c r="F94" s="28">
        <f t="shared" si="26"/>
        <v>0</v>
      </c>
      <c r="I94" s="28">
        <f>Y94*X94</f>
        <v>0</v>
      </c>
      <c r="J94" s="28">
        <f t="shared" si="19"/>
        <v>0</v>
      </c>
      <c r="K94" s="28">
        <f>I94*Y94</f>
        <v>0</v>
      </c>
      <c r="L94" s="28">
        <f t="shared" si="20"/>
        <v>0</v>
      </c>
      <c r="M94" s="86" t="e">
        <f t="shared" si="23"/>
        <v>#DIV/0!</v>
      </c>
    </row>
    <row r="95" spans="1:17" ht="24.95" customHeight="1" x14ac:dyDescent="0.25">
      <c r="A95" s="268"/>
      <c r="B95" s="269"/>
      <c r="C95" s="269"/>
      <c r="D95" s="66" t="s">
        <v>5</v>
      </c>
      <c r="E95" s="67"/>
      <c r="F95" s="68">
        <f>SUM(F76:F94)</f>
        <v>165634.9056</v>
      </c>
      <c r="I95" s="68">
        <f>SUM(I76:I94)</f>
        <v>78925</v>
      </c>
      <c r="J95" s="68">
        <f>SUM(J76:J94)</f>
        <v>68104</v>
      </c>
      <c r="K95" s="68">
        <f>SUM(K76:K94)</f>
        <v>94710</v>
      </c>
      <c r="L95" s="68">
        <f>SUM(L76:L94)</f>
        <v>154222.40700000004</v>
      </c>
      <c r="M95" s="88"/>
    </row>
    <row r="96" spans="1:17" ht="24.95" customHeight="1" x14ac:dyDescent="0.25">
      <c r="A96" s="254" t="s">
        <v>143</v>
      </c>
      <c r="B96" s="255"/>
      <c r="C96" s="73"/>
      <c r="D96" s="78">
        <v>1005</v>
      </c>
      <c r="E96" s="79"/>
      <c r="F96" s="76"/>
      <c r="I96" s="76"/>
      <c r="J96" s="76"/>
      <c r="K96" s="76"/>
      <c r="L96" s="76"/>
      <c r="M96" s="89"/>
    </row>
    <row r="97" spans="1:13" ht="24.95" customHeight="1" x14ac:dyDescent="0.25">
      <c r="A97" s="27">
        <v>1</v>
      </c>
      <c r="B97" s="5" t="s">
        <v>191</v>
      </c>
      <c r="C97" s="6" t="s">
        <v>29</v>
      </c>
      <c r="D97" s="112"/>
      <c r="E97" s="16">
        <f>K97*1.73</f>
        <v>386.13599999999997</v>
      </c>
      <c r="F97" s="28">
        <f t="shared" ref="F97:F124" si="27">E97*D97</f>
        <v>0</v>
      </c>
      <c r="I97" s="84">
        <v>186</v>
      </c>
      <c r="J97" s="28">
        <f t="shared" ref="J97:J124" si="28">I97*D97</f>
        <v>0</v>
      </c>
      <c r="K97" s="28">
        <f t="shared" ref="K97:K124" si="29">I97*1.2</f>
        <v>223.2</v>
      </c>
      <c r="L97" s="28">
        <f t="shared" ref="L97:L124" si="30">E97-E97*$E$223/100</f>
        <v>289.60199999999998</v>
      </c>
      <c r="M97" s="86">
        <f t="shared" ref="M97:M124" si="31">(L97-K97)/K97</f>
        <v>0.29749999999999993</v>
      </c>
    </row>
    <row r="98" spans="1:13" ht="24.95" customHeight="1" x14ac:dyDescent="0.25">
      <c r="A98" s="27">
        <v>2</v>
      </c>
      <c r="B98" s="5" t="s">
        <v>197</v>
      </c>
      <c r="C98" s="6" t="s">
        <v>29</v>
      </c>
      <c r="D98" s="110"/>
      <c r="E98" s="16">
        <f t="shared" ref="E98:E124" si="32">K98*1.73</f>
        <v>155.69999999999999</v>
      </c>
      <c r="F98" s="28">
        <f t="shared" si="27"/>
        <v>0</v>
      </c>
      <c r="I98" s="84">
        <v>75</v>
      </c>
      <c r="J98" s="28">
        <f t="shared" si="28"/>
        <v>0</v>
      </c>
      <c r="K98" s="28">
        <f t="shared" si="29"/>
        <v>90</v>
      </c>
      <c r="L98" s="28">
        <f t="shared" si="30"/>
        <v>116.77499999999999</v>
      </c>
      <c r="M98" s="86">
        <f t="shared" si="31"/>
        <v>0.29749999999999993</v>
      </c>
    </row>
    <row r="99" spans="1:13" ht="24.95" customHeight="1" x14ac:dyDescent="0.25">
      <c r="A99" s="27">
        <v>3</v>
      </c>
      <c r="B99" s="5" t="s">
        <v>192</v>
      </c>
      <c r="C99" s="6" t="s">
        <v>29</v>
      </c>
      <c r="D99" s="112"/>
      <c r="E99" s="16">
        <f t="shared" si="32"/>
        <v>156.07368000000002</v>
      </c>
      <c r="F99" s="28">
        <f t="shared" si="27"/>
        <v>0</v>
      </c>
      <c r="I99" s="84">
        <v>75.180000000000007</v>
      </c>
      <c r="J99" s="28">
        <f t="shared" si="28"/>
        <v>0</v>
      </c>
      <c r="K99" s="28">
        <f t="shared" si="29"/>
        <v>90.216000000000008</v>
      </c>
      <c r="L99" s="28">
        <f t="shared" si="30"/>
        <v>117.05526000000002</v>
      </c>
      <c r="M99" s="86">
        <f t="shared" si="31"/>
        <v>0.2975000000000001</v>
      </c>
    </row>
    <row r="100" spans="1:13" ht="24.95" customHeight="1" x14ac:dyDescent="0.25">
      <c r="A100" s="27">
        <v>4</v>
      </c>
      <c r="B100" s="5" t="s">
        <v>193</v>
      </c>
      <c r="C100" s="6" t="s">
        <v>29</v>
      </c>
      <c r="D100" s="112"/>
      <c r="E100" s="16">
        <f t="shared" si="32"/>
        <v>186.84</v>
      </c>
      <c r="F100" s="28">
        <f t="shared" si="27"/>
        <v>0</v>
      </c>
      <c r="I100" s="84">
        <v>90</v>
      </c>
      <c r="J100" s="28">
        <f t="shared" si="28"/>
        <v>0</v>
      </c>
      <c r="K100" s="28">
        <f t="shared" si="29"/>
        <v>108</v>
      </c>
      <c r="L100" s="28">
        <f t="shared" si="30"/>
        <v>140.13</v>
      </c>
      <c r="M100" s="86">
        <f t="shared" si="31"/>
        <v>0.29749999999999993</v>
      </c>
    </row>
    <row r="101" spans="1:13" ht="24.95" customHeight="1" x14ac:dyDescent="0.25">
      <c r="A101" s="27">
        <v>5</v>
      </c>
      <c r="B101" s="5" t="s">
        <v>112</v>
      </c>
      <c r="C101" s="6" t="s">
        <v>29</v>
      </c>
      <c r="D101" s="112"/>
      <c r="E101" s="16">
        <f t="shared" si="32"/>
        <v>550.14</v>
      </c>
      <c r="F101" s="28">
        <f t="shared" si="27"/>
        <v>0</v>
      </c>
      <c r="I101" s="84">
        <v>265</v>
      </c>
      <c r="J101" s="28">
        <f t="shared" si="28"/>
        <v>0</v>
      </c>
      <c r="K101" s="28">
        <f t="shared" si="29"/>
        <v>318</v>
      </c>
      <c r="L101" s="28">
        <f t="shared" si="30"/>
        <v>412.60500000000002</v>
      </c>
      <c r="M101" s="86">
        <f t="shared" si="31"/>
        <v>0.29750000000000004</v>
      </c>
    </row>
    <row r="102" spans="1:13" ht="24.95" customHeight="1" x14ac:dyDescent="0.25">
      <c r="A102" s="27">
        <v>6</v>
      </c>
      <c r="B102" s="5" t="s">
        <v>101</v>
      </c>
      <c r="C102" s="6" t="s">
        <v>29</v>
      </c>
      <c r="D102" s="112"/>
      <c r="E102" s="16">
        <f t="shared" si="32"/>
        <v>24.081599999999998</v>
      </c>
      <c r="F102" s="28">
        <f t="shared" si="27"/>
        <v>0</v>
      </c>
      <c r="I102" s="84">
        <v>11.6</v>
      </c>
      <c r="J102" s="28">
        <f t="shared" si="28"/>
        <v>0</v>
      </c>
      <c r="K102" s="28">
        <f t="shared" si="29"/>
        <v>13.92</v>
      </c>
      <c r="L102" s="28">
        <f t="shared" si="30"/>
        <v>18.061199999999999</v>
      </c>
      <c r="M102" s="86">
        <f t="shared" si="31"/>
        <v>0.29749999999999999</v>
      </c>
    </row>
    <row r="103" spans="1:13" ht="24.95" customHeight="1" x14ac:dyDescent="0.25">
      <c r="A103" s="27">
        <v>7</v>
      </c>
      <c r="B103" s="5" t="s">
        <v>133</v>
      </c>
      <c r="C103" s="6" t="s">
        <v>206</v>
      </c>
      <c r="D103" s="13">
        <f>IF('BİNA BİLGİLERİ'!B7="2",15,0)</f>
        <v>0</v>
      </c>
      <c r="E103" s="16">
        <f t="shared" si="32"/>
        <v>181.00644</v>
      </c>
      <c r="F103" s="28">
        <f t="shared" si="27"/>
        <v>0</v>
      </c>
      <c r="I103" s="84">
        <v>87.19</v>
      </c>
      <c r="J103" s="28">
        <f t="shared" si="28"/>
        <v>0</v>
      </c>
      <c r="K103" s="28">
        <f t="shared" si="29"/>
        <v>104.628</v>
      </c>
      <c r="L103" s="28">
        <f t="shared" si="30"/>
        <v>135.75483</v>
      </c>
      <c r="M103" s="86">
        <f t="shared" si="31"/>
        <v>0.29749999999999999</v>
      </c>
    </row>
    <row r="104" spans="1:13" ht="24.95" customHeight="1" x14ac:dyDescent="0.25">
      <c r="A104" s="27">
        <v>8</v>
      </c>
      <c r="B104" s="5" t="s">
        <v>102</v>
      </c>
      <c r="C104" s="6" t="s">
        <v>30</v>
      </c>
      <c r="D104" s="15">
        <f>'BİNA BİLGİLERİ'!B2*1.5</f>
        <v>157.5</v>
      </c>
      <c r="E104" s="16">
        <f t="shared" si="32"/>
        <v>124.95443999999999</v>
      </c>
      <c r="F104" s="28">
        <f t="shared" si="27"/>
        <v>19680.3243</v>
      </c>
      <c r="I104" s="84">
        <v>60.19</v>
      </c>
      <c r="J104" s="28">
        <f t="shared" si="28"/>
        <v>9479.9249999999993</v>
      </c>
      <c r="K104" s="28">
        <f t="shared" si="29"/>
        <v>72.227999999999994</v>
      </c>
      <c r="L104" s="28">
        <f t="shared" si="30"/>
        <v>93.715829999999997</v>
      </c>
      <c r="M104" s="86">
        <f t="shared" si="31"/>
        <v>0.29750000000000004</v>
      </c>
    </row>
    <row r="105" spans="1:13" ht="24.95" customHeight="1" x14ac:dyDescent="0.25">
      <c r="A105" s="27">
        <v>9</v>
      </c>
      <c r="B105" s="5" t="s">
        <v>103</v>
      </c>
      <c r="C105" s="6" t="s">
        <v>31</v>
      </c>
      <c r="D105" s="15">
        <f>'BİNA BİLGİLERİ'!B2</f>
        <v>105</v>
      </c>
      <c r="E105" s="16">
        <f t="shared" si="32"/>
        <v>59.477399999999989</v>
      </c>
      <c r="F105" s="28">
        <f t="shared" si="27"/>
        <v>6245.1269999999986</v>
      </c>
      <c r="I105" s="84">
        <v>28.65</v>
      </c>
      <c r="J105" s="28">
        <f t="shared" si="28"/>
        <v>3008.25</v>
      </c>
      <c r="K105" s="28">
        <f t="shared" si="29"/>
        <v>34.379999999999995</v>
      </c>
      <c r="L105" s="28">
        <f t="shared" si="30"/>
        <v>44.608049999999992</v>
      </c>
      <c r="M105" s="86">
        <f t="shared" si="31"/>
        <v>0.29749999999999993</v>
      </c>
    </row>
    <row r="106" spans="1:13" ht="24.95" customHeight="1" x14ac:dyDescent="0.25">
      <c r="A106" s="27">
        <v>10</v>
      </c>
      <c r="B106" s="5" t="s">
        <v>32</v>
      </c>
      <c r="C106" s="6" t="s">
        <v>33</v>
      </c>
      <c r="D106" s="15">
        <f>IF('BİNA BİLGİLERİ'!B7="2",60,30)</f>
        <v>30</v>
      </c>
      <c r="E106" s="16">
        <f t="shared" si="32"/>
        <v>24.41376</v>
      </c>
      <c r="F106" s="28">
        <f t="shared" si="27"/>
        <v>732.41279999999995</v>
      </c>
      <c r="I106" s="84">
        <v>11.76</v>
      </c>
      <c r="J106" s="28">
        <f t="shared" si="28"/>
        <v>352.8</v>
      </c>
      <c r="K106" s="28">
        <f t="shared" si="29"/>
        <v>14.112</v>
      </c>
      <c r="L106" s="28">
        <f t="shared" si="30"/>
        <v>18.310319999999997</v>
      </c>
      <c r="M106" s="86">
        <f t="shared" si="31"/>
        <v>0.29749999999999982</v>
      </c>
    </row>
    <row r="107" spans="1:13" ht="24.95" customHeight="1" x14ac:dyDescent="0.25">
      <c r="A107" s="27">
        <v>11</v>
      </c>
      <c r="B107" s="5" t="s">
        <v>104</v>
      </c>
      <c r="C107" s="6" t="s">
        <v>34</v>
      </c>
      <c r="D107" s="15">
        <f>IF('BİNA BİLGİLERİ'!B2&lt;=100,3,3+ROUNDUP(('BİNA BİLGİLERİ'!B2-100)/20,0))</f>
        <v>4</v>
      </c>
      <c r="E107" s="16">
        <f t="shared" si="32"/>
        <v>105.87599999999999</v>
      </c>
      <c r="F107" s="28">
        <f t="shared" si="27"/>
        <v>423.50399999999996</v>
      </c>
      <c r="I107" s="84">
        <v>51</v>
      </c>
      <c r="J107" s="28">
        <f t="shared" si="28"/>
        <v>204</v>
      </c>
      <c r="K107" s="28">
        <f t="shared" si="29"/>
        <v>61.199999999999996</v>
      </c>
      <c r="L107" s="28">
        <f t="shared" si="30"/>
        <v>79.406999999999996</v>
      </c>
      <c r="M107" s="86">
        <f t="shared" si="31"/>
        <v>0.29750000000000004</v>
      </c>
    </row>
    <row r="108" spans="1:13" ht="24.95" customHeight="1" x14ac:dyDescent="0.25">
      <c r="A108" s="27">
        <v>12</v>
      </c>
      <c r="B108" s="5" t="s">
        <v>105</v>
      </c>
      <c r="C108" s="6" t="s">
        <v>34</v>
      </c>
      <c r="D108" s="13">
        <f>IF('BİNA BİLGİLERİ'!B2&lt;=100,3,3+ROUNDUP(('BİNA BİLGİLERİ'!B2-100)/20,0))</f>
        <v>4</v>
      </c>
      <c r="E108" s="16">
        <f t="shared" si="32"/>
        <v>130.78799999999998</v>
      </c>
      <c r="F108" s="28">
        <f t="shared" si="27"/>
        <v>523.15199999999993</v>
      </c>
      <c r="I108" s="84">
        <v>63</v>
      </c>
      <c r="J108" s="28">
        <f t="shared" si="28"/>
        <v>252</v>
      </c>
      <c r="K108" s="28">
        <f t="shared" si="29"/>
        <v>75.599999999999994</v>
      </c>
      <c r="L108" s="28">
        <f t="shared" si="30"/>
        <v>98.09099999999998</v>
      </c>
      <c r="M108" s="86">
        <f t="shared" si="31"/>
        <v>0.29749999999999982</v>
      </c>
    </row>
    <row r="109" spans="1:13" ht="24.95" customHeight="1" x14ac:dyDescent="0.25">
      <c r="A109" s="27">
        <v>13</v>
      </c>
      <c r="B109" s="5" t="s">
        <v>194</v>
      </c>
      <c r="C109" s="6" t="s">
        <v>34</v>
      </c>
      <c r="D109" s="112"/>
      <c r="E109" s="16">
        <f t="shared" si="32"/>
        <v>352.92</v>
      </c>
      <c r="F109" s="28">
        <f t="shared" si="27"/>
        <v>0</v>
      </c>
      <c r="I109" s="84">
        <v>170</v>
      </c>
      <c r="J109" s="28">
        <f t="shared" si="28"/>
        <v>0</v>
      </c>
      <c r="K109" s="28">
        <f t="shared" si="29"/>
        <v>204</v>
      </c>
      <c r="L109" s="28">
        <f t="shared" si="30"/>
        <v>264.69</v>
      </c>
      <c r="M109" s="86">
        <f t="shared" si="31"/>
        <v>0.29749999999999999</v>
      </c>
    </row>
    <row r="110" spans="1:13" ht="24.95" customHeight="1" x14ac:dyDescent="0.25">
      <c r="A110" s="27">
        <v>14</v>
      </c>
      <c r="B110" s="5" t="s">
        <v>162</v>
      </c>
      <c r="C110" s="6" t="s">
        <v>34</v>
      </c>
      <c r="D110" s="15">
        <f>IF('BİNA BİLGİLERİ'!B2&lt;=100,18,18+ROUNDUP(('BİNA BİLGİLERİ'!B2-100)/20,0)*2)</f>
        <v>20</v>
      </c>
      <c r="E110" s="16">
        <f t="shared" si="32"/>
        <v>110.02799999999999</v>
      </c>
      <c r="F110" s="28">
        <f t="shared" si="27"/>
        <v>2200.56</v>
      </c>
      <c r="I110" s="84">
        <v>53</v>
      </c>
      <c r="J110" s="28">
        <f t="shared" si="28"/>
        <v>1060</v>
      </c>
      <c r="K110" s="28">
        <f t="shared" si="29"/>
        <v>63.599999999999994</v>
      </c>
      <c r="L110" s="28">
        <f t="shared" si="30"/>
        <v>82.520999999999987</v>
      </c>
      <c r="M110" s="86">
        <f t="shared" si="31"/>
        <v>0.29749999999999993</v>
      </c>
    </row>
    <row r="111" spans="1:13" ht="24.95" customHeight="1" x14ac:dyDescent="0.25">
      <c r="A111" s="27">
        <v>15</v>
      </c>
      <c r="B111" s="5" t="s">
        <v>195</v>
      </c>
      <c r="C111" s="6" t="s">
        <v>34</v>
      </c>
      <c r="D111" s="15">
        <v>1</v>
      </c>
      <c r="E111" s="16">
        <f t="shared" si="32"/>
        <v>352.92</v>
      </c>
      <c r="F111" s="28">
        <f t="shared" si="27"/>
        <v>352.92</v>
      </c>
      <c r="I111" s="84">
        <v>170</v>
      </c>
      <c r="J111" s="28">
        <f t="shared" si="28"/>
        <v>170</v>
      </c>
      <c r="K111" s="28">
        <f t="shared" si="29"/>
        <v>204</v>
      </c>
      <c r="L111" s="28">
        <f t="shared" si="30"/>
        <v>264.69</v>
      </c>
      <c r="M111" s="86">
        <f t="shared" si="31"/>
        <v>0.29749999999999999</v>
      </c>
    </row>
    <row r="112" spans="1:13" ht="24.95" customHeight="1" x14ac:dyDescent="0.25">
      <c r="A112" s="27">
        <v>16</v>
      </c>
      <c r="B112" s="5" t="s">
        <v>118</v>
      </c>
      <c r="C112" s="6" t="s">
        <v>29</v>
      </c>
      <c r="D112" s="15">
        <f>SUM(D107:D111)</f>
        <v>29</v>
      </c>
      <c r="E112" s="16">
        <f t="shared" si="32"/>
        <v>13.286399999999999</v>
      </c>
      <c r="F112" s="28">
        <f t="shared" si="27"/>
        <v>385.30559999999997</v>
      </c>
      <c r="I112" s="84">
        <v>6.4</v>
      </c>
      <c r="J112" s="28">
        <f t="shared" si="28"/>
        <v>185.60000000000002</v>
      </c>
      <c r="K112" s="28">
        <f t="shared" si="29"/>
        <v>7.68</v>
      </c>
      <c r="L112" s="28">
        <f t="shared" si="30"/>
        <v>9.9647999999999985</v>
      </c>
      <c r="M112" s="86">
        <f t="shared" si="31"/>
        <v>0.29749999999999988</v>
      </c>
    </row>
    <row r="113" spans="1:13" ht="24.95" customHeight="1" x14ac:dyDescent="0.25">
      <c r="A113" s="27">
        <v>17</v>
      </c>
      <c r="B113" s="5" t="s">
        <v>35</v>
      </c>
      <c r="C113" s="6" t="s">
        <v>36</v>
      </c>
      <c r="D113" s="112"/>
      <c r="E113" s="16">
        <f t="shared" si="32"/>
        <v>307.24799999999999</v>
      </c>
      <c r="F113" s="28">
        <f t="shared" si="27"/>
        <v>0</v>
      </c>
      <c r="I113" s="84">
        <v>148</v>
      </c>
      <c r="J113" s="28">
        <f t="shared" si="28"/>
        <v>0</v>
      </c>
      <c r="K113" s="28">
        <f t="shared" si="29"/>
        <v>177.6</v>
      </c>
      <c r="L113" s="28">
        <f t="shared" si="30"/>
        <v>230.43599999999998</v>
      </c>
      <c r="M113" s="86">
        <f t="shared" si="31"/>
        <v>0.29749999999999993</v>
      </c>
    </row>
    <row r="114" spans="1:13" ht="24.95" customHeight="1" x14ac:dyDescent="0.25">
      <c r="A114" s="27">
        <v>18</v>
      </c>
      <c r="B114" s="5" t="s">
        <v>35</v>
      </c>
      <c r="C114" s="6" t="s">
        <v>37</v>
      </c>
      <c r="D114" s="15">
        <f>'BİNA BİLGİLERİ'!B7</f>
        <v>1</v>
      </c>
      <c r="E114" s="16">
        <f t="shared" si="32"/>
        <v>400.66800000000001</v>
      </c>
      <c r="F114" s="28">
        <f t="shared" si="27"/>
        <v>400.66800000000001</v>
      </c>
      <c r="I114" s="84">
        <v>193</v>
      </c>
      <c r="J114" s="28">
        <f t="shared" si="28"/>
        <v>193</v>
      </c>
      <c r="K114" s="28">
        <f t="shared" si="29"/>
        <v>231.6</v>
      </c>
      <c r="L114" s="28">
        <f t="shared" si="30"/>
        <v>300.50099999999998</v>
      </c>
      <c r="M114" s="86">
        <f t="shared" si="31"/>
        <v>0.29749999999999993</v>
      </c>
    </row>
    <row r="115" spans="1:13" ht="24.95" customHeight="1" x14ac:dyDescent="0.25">
      <c r="A115" s="27">
        <v>19</v>
      </c>
      <c r="B115" s="5" t="s">
        <v>35</v>
      </c>
      <c r="C115" s="6" t="s">
        <v>38</v>
      </c>
      <c r="D115" s="112"/>
      <c r="E115" s="16">
        <f t="shared" si="32"/>
        <v>616.572</v>
      </c>
      <c r="F115" s="28">
        <f t="shared" si="27"/>
        <v>0</v>
      </c>
      <c r="I115" s="84">
        <v>297</v>
      </c>
      <c r="J115" s="28">
        <f t="shared" si="28"/>
        <v>0</v>
      </c>
      <c r="K115" s="28">
        <f t="shared" si="29"/>
        <v>356.4</v>
      </c>
      <c r="L115" s="28">
        <f t="shared" si="30"/>
        <v>462.42899999999997</v>
      </c>
      <c r="M115" s="86">
        <f t="shared" si="31"/>
        <v>0.29749999999999999</v>
      </c>
    </row>
    <row r="116" spans="1:13" ht="24.95" customHeight="1" x14ac:dyDescent="0.25">
      <c r="A116" s="27">
        <v>20</v>
      </c>
      <c r="B116" s="5" t="s">
        <v>106</v>
      </c>
      <c r="C116" s="6" t="s">
        <v>163</v>
      </c>
      <c r="D116" s="15">
        <f>6*$D$114</f>
        <v>6</v>
      </c>
      <c r="E116" s="16">
        <f t="shared" si="32"/>
        <v>132.864</v>
      </c>
      <c r="F116" s="28">
        <f t="shared" si="27"/>
        <v>797.18399999999997</v>
      </c>
      <c r="I116" s="84">
        <v>64</v>
      </c>
      <c r="J116" s="28">
        <f t="shared" si="28"/>
        <v>384</v>
      </c>
      <c r="K116" s="28">
        <f t="shared" si="29"/>
        <v>76.8</v>
      </c>
      <c r="L116" s="28">
        <f t="shared" si="30"/>
        <v>99.647999999999996</v>
      </c>
      <c r="M116" s="86">
        <f t="shared" si="31"/>
        <v>0.29749999999999999</v>
      </c>
    </row>
    <row r="117" spans="1:13" ht="24.95" customHeight="1" x14ac:dyDescent="0.25">
      <c r="A117" s="27">
        <v>21</v>
      </c>
      <c r="B117" s="5" t="s">
        <v>107</v>
      </c>
      <c r="C117" s="6" t="s">
        <v>164</v>
      </c>
      <c r="D117" s="15">
        <f>3*$D$114</f>
        <v>3</v>
      </c>
      <c r="E117" s="16">
        <f t="shared" si="32"/>
        <v>132.864</v>
      </c>
      <c r="F117" s="28">
        <f t="shared" si="27"/>
        <v>398.59199999999998</v>
      </c>
      <c r="I117" s="84">
        <v>64</v>
      </c>
      <c r="J117" s="28">
        <f t="shared" si="28"/>
        <v>192</v>
      </c>
      <c r="K117" s="28">
        <f t="shared" si="29"/>
        <v>76.8</v>
      </c>
      <c r="L117" s="28">
        <f t="shared" si="30"/>
        <v>99.647999999999996</v>
      </c>
      <c r="M117" s="86">
        <f t="shared" si="31"/>
        <v>0.29749999999999999</v>
      </c>
    </row>
    <row r="118" spans="1:13" ht="24.95" customHeight="1" x14ac:dyDescent="0.25">
      <c r="A118" s="27">
        <v>22</v>
      </c>
      <c r="B118" s="5" t="s">
        <v>92</v>
      </c>
      <c r="C118" s="6" t="s">
        <v>165</v>
      </c>
      <c r="D118" s="15">
        <f>1*$D$114</f>
        <v>1</v>
      </c>
      <c r="E118" s="16">
        <f t="shared" si="32"/>
        <v>1368.0839999999998</v>
      </c>
      <c r="F118" s="28">
        <f t="shared" si="27"/>
        <v>1368.0839999999998</v>
      </c>
      <c r="I118" s="84">
        <v>659</v>
      </c>
      <c r="J118" s="28">
        <f t="shared" si="28"/>
        <v>659</v>
      </c>
      <c r="K118" s="28">
        <f t="shared" si="29"/>
        <v>790.8</v>
      </c>
      <c r="L118" s="28">
        <f t="shared" si="30"/>
        <v>1026.0629999999999</v>
      </c>
      <c r="M118" s="86">
        <f t="shared" si="31"/>
        <v>0.29749999999999993</v>
      </c>
    </row>
    <row r="119" spans="1:13" ht="24.95" customHeight="1" x14ac:dyDescent="0.25">
      <c r="A119" s="27">
        <v>23</v>
      </c>
      <c r="B119" s="5" t="s">
        <v>93</v>
      </c>
      <c r="C119" s="6" t="s">
        <v>166</v>
      </c>
      <c r="D119" s="112"/>
      <c r="E119" s="16">
        <f t="shared" si="32"/>
        <v>2595</v>
      </c>
      <c r="F119" s="28">
        <f t="shared" si="27"/>
        <v>0</v>
      </c>
      <c r="I119" s="84">
        <v>1250</v>
      </c>
      <c r="J119" s="28">
        <f t="shared" si="28"/>
        <v>0</v>
      </c>
      <c r="K119" s="28">
        <f t="shared" si="29"/>
        <v>1500</v>
      </c>
      <c r="L119" s="28">
        <f t="shared" si="30"/>
        <v>1946.25</v>
      </c>
      <c r="M119" s="86">
        <f t="shared" si="31"/>
        <v>0.29749999999999999</v>
      </c>
    </row>
    <row r="120" spans="1:13" ht="24.95" customHeight="1" x14ac:dyDescent="0.25">
      <c r="A120" s="27">
        <v>24</v>
      </c>
      <c r="B120" s="5" t="s">
        <v>39</v>
      </c>
      <c r="C120" s="6" t="s">
        <v>29</v>
      </c>
      <c r="D120" s="112"/>
      <c r="E120" s="16">
        <f t="shared" si="32"/>
        <v>14.532</v>
      </c>
      <c r="F120" s="28">
        <f t="shared" si="27"/>
        <v>0</v>
      </c>
      <c r="I120" s="84">
        <v>7</v>
      </c>
      <c r="J120" s="28">
        <f t="shared" si="28"/>
        <v>0</v>
      </c>
      <c r="K120" s="28">
        <f t="shared" si="29"/>
        <v>8.4</v>
      </c>
      <c r="L120" s="28">
        <f t="shared" si="30"/>
        <v>10.899000000000001</v>
      </c>
      <c r="M120" s="86">
        <f t="shared" si="31"/>
        <v>0.29750000000000004</v>
      </c>
    </row>
    <row r="121" spans="1:13" ht="24.95" customHeight="1" x14ac:dyDescent="0.25">
      <c r="A121" s="27">
        <v>25</v>
      </c>
      <c r="B121" s="5" t="s">
        <v>167</v>
      </c>
      <c r="C121" s="6" t="s">
        <v>29</v>
      </c>
      <c r="D121" s="15">
        <f>'BİNA BİLGİLERİ'!B2</f>
        <v>105</v>
      </c>
      <c r="E121" s="16">
        <f t="shared" si="32"/>
        <v>7.6812000000000005</v>
      </c>
      <c r="F121" s="28">
        <f t="shared" si="27"/>
        <v>806.52600000000007</v>
      </c>
      <c r="I121" s="84">
        <v>3.7</v>
      </c>
      <c r="J121" s="28">
        <f t="shared" si="28"/>
        <v>388.5</v>
      </c>
      <c r="K121" s="28">
        <f t="shared" si="29"/>
        <v>4.4400000000000004</v>
      </c>
      <c r="L121" s="28">
        <f t="shared" si="30"/>
        <v>5.7609000000000004</v>
      </c>
      <c r="M121" s="86">
        <f t="shared" si="31"/>
        <v>0.29749999999999999</v>
      </c>
    </row>
    <row r="122" spans="1:13" ht="24.95" customHeight="1" x14ac:dyDescent="0.25">
      <c r="A122" s="27">
        <v>26</v>
      </c>
      <c r="B122" s="5" t="s">
        <v>40</v>
      </c>
      <c r="C122" s="6" t="s">
        <v>29</v>
      </c>
      <c r="D122" s="15">
        <v>1</v>
      </c>
      <c r="E122" s="16">
        <f t="shared" si="32"/>
        <v>431.80799999999999</v>
      </c>
      <c r="F122" s="28">
        <f t="shared" si="27"/>
        <v>431.80799999999999</v>
      </c>
      <c r="I122" s="84">
        <v>208</v>
      </c>
      <c r="J122" s="28">
        <f t="shared" si="28"/>
        <v>208</v>
      </c>
      <c r="K122" s="28">
        <f t="shared" si="29"/>
        <v>249.6</v>
      </c>
      <c r="L122" s="28">
        <f t="shared" si="30"/>
        <v>323.85599999999999</v>
      </c>
      <c r="M122" s="86">
        <f t="shared" si="31"/>
        <v>0.29749999999999999</v>
      </c>
    </row>
    <row r="123" spans="1:13" ht="24.95" customHeight="1" x14ac:dyDescent="0.25">
      <c r="A123" s="27">
        <v>27</v>
      </c>
      <c r="B123" s="5" t="s">
        <v>94</v>
      </c>
      <c r="C123" s="6" t="s">
        <v>29</v>
      </c>
      <c r="D123" s="112"/>
      <c r="E123" s="16">
        <f t="shared" si="32"/>
        <v>1262.2080000000001</v>
      </c>
      <c r="F123" s="28">
        <f t="shared" si="27"/>
        <v>0</v>
      </c>
      <c r="I123" s="84">
        <v>608</v>
      </c>
      <c r="J123" s="28">
        <f t="shared" si="28"/>
        <v>0</v>
      </c>
      <c r="K123" s="28">
        <f t="shared" si="29"/>
        <v>729.6</v>
      </c>
      <c r="L123" s="28">
        <f t="shared" si="30"/>
        <v>946.65600000000006</v>
      </c>
      <c r="M123" s="86">
        <f t="shared" si="31"/>
        <v>0.29750000000000004</v>
      </c>
    </row>
    <row r="124" spans="1:13" ht="24.95" customHeight="1" x14ac:dyDescent="0.25">
      <c r="A124" s="27">
        <v>28</v>
      </c>
      <c r="B124" s="5" t="s">
        <v>108</v>
      </c>
      <c r="C124" s="6" t="s">
        <v>29</v>
      </c>
      <c r="D124" s="15">
        <f>ROUNDUP('BİNA BİLGİLERİ'!B2/30,0)</f>
        <v>4</v>
      </c>
      <c r="E124" s="16">
        <f t="shared" si="32"/>
        <v>24.911999999999999</v>
      </c>
      <c r="F124" s="28">
        <f t="shared" si="27"/>
        <v>99.647999999999996</v>
      </c>
      <c r="I124" s="84">
        <v>12</v>
      </c>
      <c r="J124" s="28">
        <f t="shared" si="28"/>
        <v>48</v>
      </c>
      <c r="K124" s="28">
        <f t="shared" si="29"/>
        <v>14.399999999999999</v>
      </c>
      <c r="L124" s="28">
        <f t="shared" si="30"/>
        <v>18.683999999999997</v>
      </c>
      <c r="M124" s="86">
        <f t="shared" si="31"/>
        <v>0.29749999999999993</v>
      </c>
    </row>
    <row r="125" spans="1:13" ht="24.95" customHeight="1" x14ac:dyDescent="0.25">
      <c r="A125" s="259"/>
      <c r="B125" s="260"/>
      <c r="C125" s="261"/>
      <c r="D125" s="70" t="s">
        <v>5</v>
      </c>
      <c r="E125" s="69"/>
      <c r="F125" s="68">
        <f>SUBTOTAL(9,F97:F124)</f>
        <v>34845.815699999999</v>
      </c>
      <c r="I125" s="68">
        <f>SUBTOTAL(9,I97:I124)</f>
        <v>4917.67</v>
      </c>
      <c r="J125" s="68">
        <f>SUBTOTAL(9,J97:J124)</f>
        <v>16785.074999999997</v>
      </c>
      <c r="K125" s="68">
        <f>SUBTOTAL(9,K97:K124)</f>
        <v>5901.2039999999997</v>
      </c>
      <c r="L125" s="68">
        <f>SUBTOTAL(9,L97:L124)</f>
        <v>7656.8121900000015</v>
      </c>
      <c r="M125" s="88"/>
    </row>
    <row r="126" spans="1:13" ht="24.95" customHeight="1" x14ac:dyDescent="0.25">
      <c r="A126" s="254" t="s">
        <v>141</v>
      </c>
      <c r="B126" s="255"/>
      <c r="C126" s="73"/>
      <c r="D126" s="74">
        <v>1006</v>
      </c>
      <c r="E126" s="77"/>
      <c r="F126" s="76"/>
      <c r="I126" s="76"/>
      <c r="J126" s="76"/>
      <c r="K126" s="76"/>
      <c r="L126" s="76"/>
      <c r="M126" s="89"/>
    </row>
    <row r="127" spans="1:13" ht="24.95" customHeight="1" x14ac:dyDescent="0.25">
      <c r="A127" s="27">
        <v>1</v>
      </c>
      <c r="B127" s="5" t="s">
        <v>41</v>
      </c>
      <c r="C127" s="6" t="s">
        <v>42</v>
      </c>
      <c r="D127" s="3">
        <f>((D39+D40)*30)-D128</f>
        <v>2910</v>
      </c>
      <c r="E127" s="16">
        <f t="shared" ref="E127:E134" si="33">K127*1.73</f>
        <v>0.70584000000000002</v>
      </c>
      <c r="F127" s="28">
        <f t="shared" ref="F127:F134" si="34">E127*D127</f>
        <v>2053.9944</v>
      </c>
      <c r="I127" s="84">
        <v>0.34</v>
      </c>
      <c r="J127" s="28">
        <f t="shared" ref="J127:J134" si="35">I127*D127</f>
        <v>989.40000000000009</v>
      </c>
      <c r="K127" s="28">
        <f t="shared" ref="K127:K134" si="36">I127*1.2</f>
        <v>0.40800000000000003</v>
      </c>
      <c r="L127" s="28">
        <f t="shared" ref="L127:L134" si="37">E127-E127*$E$223/100</f>
        <v>0.52937999999999996</v>
      </c>
      <c r="M127" s="86">
        <f t="shared" ref="M127:M134" si="38">(L127-K127)/K127</f>
        <v>0.29749999999999982</v>
      </c>
    </row>
    <row r="128" spans="1:13" ht="24.95" customHeight="1" x14ac:dyDescent="0.25">
      <c r="A128" s="27">
        <v>2</v>
      </c>
      <c r="B128" s="5" t="s">
        <v>43</v>
      </c>
      <c r="C128" s="6" t="s">
        <v>42</v>
      </c>
      <c r="D128" s="3">
        <f>('BİNA BİLGİLERİ'!B2/3)*30</f>
        <v>1050</v>
      </c>
      <c r="E128" s="16">
        <f t="shared" si="33"/>
        <v>0.87192000000000003</v>
      </c>
      <c r="F128" s="28">
        <f t="shared" si="34"/>
        <v>915.51600000000008</v>
      </c>
      <c r="I128" s="84">
        <v>0.42</v>
      </c>
      <c r="J128" s="28">
        <f t="shared" si="35"/>
        <v>441</v>
      </c>
      <c r="K128" s="28">
        <f t="shared" si="36"/>
        <v>0.504</v>
      </c>
      <c r="L128" s="28">
        <f t="shared" si="37"/>
        <v>0.65393999999999997</v>
      </c>
      <c r="M128" s="86">
        <f t="shared" si="38"/>
        <v>0.29749999999999993</v>
      </c>
    </row>
    <row r="129" spans="1:13" ht="24.95" customHeight="1" x14ac:dyDescent="0.25">
      <c r="A129" s="27">
        <v>3</v>
      </c>
      <c r="B129" s="5" t="s">
        <v>169</v>
      </c>
      <c r="C129" s="6" t="s">
        <v>44</v>
      </c>
      <c r="D129" s="9">
        <f>'BİNA BİLGİLERİ'!B2*10</f>
        <v>1050</v>
      </c>
      <c r="E129" s="16">
        <f t="shared" si="33"/>
        <v>0.87192000000000003</v>
      </c>
      <c r="F129" s="28">
        <f t="shared" si="34"/>
        <v>915.51600000000008</v>
      </c>
      <c r="I129" s="84">
        <v>0.42</v>
      </c>
      <c r="J129" s="28">
        <f t="shared" si="35"/>
        <v>441</v>
      </c>
      <c r="K129" s="28">
        <f t="shared" si="36"/>
        <v>0.504</v>
      </c>
      <c r="L129" s="28">
        <f t="shared" si="37"/>
        <v>0.65393999999999997</v>
      </c>
      <c r="M129" s="86">
        <f t="shared" si="38"/>
        <v>0.29749999999999993</v>
      </c>
    </row>
    <row r="130" spans="1:13" ht="24.95" customHeight="1" x14ac:dyDescent="0.25">
      <c r="A130" s="27">
        <v>4</v>
      </c>
      <c r="B130" s="5" t="s">
        <v>45</v>
      </c>
      <c r="C130" s="6" t="s">
        <v>44</v>
      </c>
      <c r="D130" s="9">
        <f>(D42+D41+D47)*30</f>
        <v>7200</v>
      </c>
      <c r="E130" s="16">
        <f t="shared" si="33"/>
        <v>0.87192000000000003</v>
      </c>
      <c r="F130" s="28">
        <f t="shared" si="34"/>
        <v>6277.8240000000005</v>
      </c>
      <c r="I130" s="84">
        <v>0.42</v>
      </c>
      <c r="J130" s="28">
        <f t="shared" si="35"/>
        <v>3024</v>
      </c>
      <c r="K130" s="28">
        <f t="shared" si="36"/>
        <v>0.504</v>
      </c>
      <c r="L130" s="28">
        <f t="shared" si="37"/>
        <v>0.65393999999999997</v>
      </c>
      <c r="M130" s="86">
        <f t="shared" si="38"/>
        <v>0.29749999999999993</v>
      </c>
    </row>
    <row r="131" spans="1:13" ht="24.95" customHeight="1" x14ac:dyDescent="0.25">
      <c r="A131" s="27">
        <v>5</v>
      </c>
      <c r="B131" s="5" t="s">
        <v>170</v>
      </c>
      <c r="C131" s="6" t="s">
        <v>46</v>
      </c>
      <c r="D131" s="9">
        <f>SUM(D82:D93)*10</f>
        <v>80</v>
      </c>
      <c r="E131" s="16">
        <f t="shared" si="33"/>
        <v>2.4081599999999996</v>
      </c>
      <c r="F131" s="28">
        <f t="shared" si="34"/>
        <v>192.65279999999996</v>
      </c>
      <c r="I131" s="84">
        <v>1.1599999999999999</v>
      </c>
      <c r="J131" s="28">
        <f t="shared" si="35"/>
        <v>92.8</v>
      </c>
      <c r="K131" s="28">
        <f t="shared" si="36"/>
        <v>1.3919999999999999</v>
      </c>
      <c r="L131" s="28">
        <f t="shared" si="37"/>
        <v>1.8061199999999997</v>
      </c>
      <c r="M131" s="86">
        <f t="shared" si="38"/>
        <v>0.29749999999999988</v>
      </c>
    </row>
    <row r="132" spans="1:13" ht="24.95" customHeight="1" x14ac:dyDescent="0.25">
      <c r="A132" s="27">
        <v>6</v>
      </c>
      <c r="B132" s="5" t="s">
        <v>260</v>
      </c>
      <c r="C132" s="6" t="s">
        <v>171</v>
      </c>
      <c r="D132" s="3">
        <f>'BİNA BİLGİLERİ'!B2*10</f>
        <v>1050</v>
      </c>
      <c r="E132" s="16">
        <f t="shared" si="33"/>
        <v>2.0760000000000001</v>
      </c>
      <c r="F132" s="28">
        <f t="shared" si="34"/>
        <v>2179.8000000000002</v>
      </c>
      <c r="I132" s="84">
        <v>1</v>
      </c>
      <c r="J132" s="28">
        <f t="shared" si="35"/>
        <v>1050</v>
      </c>
      <c r="K132" s="28">
        <f t="shared" si="36"/>
        <v>1.2</v>
      </c>
      <c r="L132" s="28">
        <f t="shared" si="37"/>
        <v>1.5569999999999999</v>
      </c>
      <c r="M132" s="86">
        <f t="shared" si="38"/>
        <v>0.29749999999999999</v>
      </c>
    </row>
    <row r="133" spans="1:13" ht="24.95" customHeight="1" x14ac:dyDescent="0.25">
      <c r="A133" s="27">
        <v>7</v>
      </c>
      <c r="B133" s="5" t="s">
        <v>47</v>
      </c>
      <c r="C133" s="6" t="s">
        <v>172</v>
      </c>
      <c r="D133" s="9">
        <f>'BİNA BİLGİLERİ'!B2*8</f>
        <v>840</v>
      </c>
      <c r="E133" s="16">
        <f t="shared" si="33"/>
        <v>3.1555199999999997</v>
      </c>
      <c r="F133" s="28">
        <f t="shared" si="34"/>
        <v>2650.6367999999998</v>
      </c>
      <c r="I133" s="84">
        <v>1.52</v>
      </c>
      <c r="J133" s="28">
        <f t="shared" si="35"/>
        <v>1276.8</v>
      </c>
      <c r="K133" s="28">
        <f t="shared" si="36"/>
        <v>1.8239999999999998</v>
      </c>
      <c r="L133" s="28">
        <f t="shared" si="37"/>
        <v>2.3666399999999999</v>
      </c>
      <c r="M133" s="86">
        <f t="shared" si="38"/>
        <v>0.29750000000000004</v>
      </c>
    </row>
    <row r="134" spans="1:13" ht="24.95" customHeight="1" x14ac:dyDescent="0.25">
      <c r="A134" s="27">
        <v>8</v>
      </c>
      <c r="B134" s="5" t="s">
        <v>48</v>
      </c>
      <c r="C134" s="6" t="s">
        <v>3</v>
      </c>
      <c r="D134" s="111"/>
      <c r="E134" s="16">
        <f t="shared" si="33"/>
        <v>2.0760000000000001</v>
      </c>
      <c r="F134" s="28">
        <f t="shared" si="34"/>
        <v>0</v>
      </c>
      <c r="I134" s="84">
        <v>1</v>
      </c>
      <c r="J134" s="28">
        <f t="shared" si="35"/>
        <v>0</v>
      </c>
      <c r="K134" s="28">
        <f t="shared" si="36"/>
        <v>1.2</v>
      </c>
      <c r="L134" s="28">
        <f t="shared" si="37"/>
        <v>1.5569999999999999</v>
      </c>
      <c r="M134" s="86">
        <f t="shared" si="38"/>
        <v>0.29749999999999999</v>
      </c>
    </row>
    <row r="135" spans="1:13" ht="24.95" customHeight="1" x14ac:dyDescent="0.25">
      <c r="A135" s="259"/>
      <c r="B135" s="260"/>
      <c r="C135" s="261"/>
      <c r="D135" s="66" t="s">
        <v>5</v>
      </c>
      <c r="E135" s="69"/>
      <c r="F135" s="68">
        <f>SUM(F127:F134)</f>
        <v>15185.940000000002</v>
      </c>
      <c r="I135" s="68">
        <f>SUM(I127:I134)</f>
        <v>6.2799999999999994</v>
      </c>
      <c r="J135" s="68">
        <f>SUM(J127:J134)</f>
        <v>7315</v>
      </c>
      <c r="K135" s="68">
        <f>SUM(K127:K134)</f>
        <v>7.5359999999999996</v>
      </c>
      <c r="L135" s="68">
        <f>SUM(L127:L134)</f>
        <v>9.7779600000000002</v>
      </c>
      <c r="M135" s="88"/>
    </row>
    <row r="136" spans="1:13" ht="24.95" customHeight="1" x14ac:dyDescent="0.25">
      <c r="A136" s="254" t="s">
        <v>142</v>
      </c>
      <c r="B136" s="255"/>
      <c r="C136" s="73"/>
      <c r="D136" s="74">
        <v>1007</v>
      </c>
      <c r="E136" s="77"/>
      <c r="F136" s="76"/>
      <c r="I136" s="76"/>
      <c r="J136" s="76"/>
      <c r="K136" s="76"/>
      <c r="L136" s="76"/>
      <c r="M136" s="89"/>
    </row>
    <row r="137" spans="1:13" ht="24.95" customHeight="1" x14ac:dyDescent="0.25">
      <c r="A137" s="27">
        <v>1</v>
      </c>
      <c r="B137" s="5" t="s">
        <v>257</v>
      </c>
      <c r="C137" s="6" t="s">
        <v>29</v>
      </c>
      <c r="D137" s="3">
        <f>D20</f>
        <v>20</v>
      </c>
      <c r="E137" s="16">
        <f t="shared" ref="E137:E151" si="39">K137*1.73</f>
        <v>16.857119999999995</v>
      </c>
      <c r="F137" s="28">
        <f t="shared" ref="F137:F151" si="40">E137*D137</f>
        <v>337.1423999999999</v>
      </c>
      <c r="I137" s="84">
        <v>8.1199999999999992</v>
      </c>
      <c r="J137" s="28">
        <f t="shared" ref="J137:J151" si="41">I137*D137</f>
        <v>162.39999999999998</v>
      </c>
      <c r="K137" s="28">
        <f t="shared" ref="K137:K151" si="42">I137*1.2</f>
        <v>9.743999999999998</v>
      </c>
      <c r="L137" s="28">
        <f t="shared" ref="L137:L151" si="43">E137-E137*$E$223/100</f>
        <v>12.642839999999996</v>
      </c>
      <c r="M137" s="86">
        <f t="shared" ref="M137:M151" si="44">(L137-K137)/K137</f>
        <v>0.29749999999999988</v>
      </c>
    </row>
    <row r="138" spans="1:13" ht="24.95" customHeight="1" x14ac:dyDescent="0.25">
      <c r="A138" s="27">
        <v>2</v>
      </c>
      <c r="B138" s="5" t="s">
        <v>173</v>
      </c>
      <c r="C138" s="6" t="s">
        <v>29</v>
      </c>
      <c r="D138" s="3">
        <f>D79+D80</f>
        <v>6</v>
      </c>
      <c r="E138" s="16">
        <f t="shared" si="39"/>
        <v>0</v>
      </c>
      <c r="F138" s="28">
        <f t="shared" si="40"/>
        <v>0</v>
      </c>
      <c r="I138" s="28">
        <f>Y138*X138</f>
        <v>0</v>
      </c>
      <c r="J138" s="28">
        <f t="shared" si="41"/>
        <v>0</v>
      </c>
      <c r="K138" s="28">
        <f t="shared" si="42"/>
        <v>0</v>
      </c>
      <c r="L138" s="28">
        <f t="shared" si="43"/>
        <v>0</v>
      </c>
      <c r="M138" s="86" t="e">
        <f t="shared" si="44"/>
        <v>#DIV/0!</v>
      </c>
    </row>
    <row r="139" spans="1:13" ht="24.95" customHeight="1" x14ac:dyDescent="0.25">
      <c r="A139" s="27">
        <v>3</v>
      </c>
      <c r="B139" s="5" t="s">
        <v>49</v>
      </c>
      <c r="C139" s="6" t="s">
        <v>29</v>
      </c>
      <c r="D139" s="110"/>
      <c r="E139" s="16">
        <f t="shared" si="39"/>
        <v>53.975999999999999</v>
      </c>
      <c r="F139" s="28">
        <f t="shared" si="40"/>
        <v>0</v>
      </c>
      <c r="I139" s="84">
        <v>26</v>
      </c>
      <c r="J139" s="28">
        <f t="shared" si="41"/>
        <v>0</v>
      </c>
      <c r="K139" s="28">
        <f t="shared" si="42"/>
        <v>31.2</v>
      </c>
      <c r="L139" s="28">
        <f t="shared" si="43"/>
        <v>40.481999999999999</v>
      </c>
      <c r="M139" s="86">
        <f t="shared" si="44"/>
        <v>0.29749999999999999</v>
      </c>
    </row>
    <row r="140" spans="1:13" ht="24.95" customHeight="1" x14ac:dyDescent="0.25">
      <c r="A140" s="27">
        <v>4</v>
      </c>
      <c r="B140" s="5" t="s">
        <v>50</v>
      </c>
      <c r="C140" s="6" t="s">
        <v>29</v>
      </c>
      <c r="D140" s="3">
        <f>ROUNDUP('BİNA BİLGİLERİ'!B2/30,0)</f>
        <v>4</v>
      </c>
      <c r="E140" s="16">
        <f t="shared" si="39"/>
        <v>91.343999999999994</v>
      </c>
      <c r="F140" s="28">
        <f t="shared" si="40"/>
        <v>365.37599999999998</v>
      </c>
      <c r="I140" s="84">
        <v>44</v>
      </c>
      <c r="J140" s="28">
        <f t="shared" si="41"/>
        <v>176</v>
      </c>
      <c r="K140" s="28">
        <f t="shared" si="42"/>
        <v>52.8</v>
      </c>
      <c r="L140" s="28">
        <f t="shared" si="43"/>
        <v>68.507999999999996</v>
      </c>
      <c r="M140" s="86">
        <f t="shared" si="44"/>
        <v>0.29749999999999999</v>
      </c>
    </row>
    <row r="141" spans="1:13" ht="24.95" customHeight="1" x14ac:dyDescent="0.25">
      <c r="A141" s="27">
        <v>5</v>
      </c>
      <c r="B141" s="5" t="s">
        <v>51</v>
      </c>
      <c r="C141" s="6" t="s">
        <v>29</v>
      </c>
      <c r="D141" s="3">
        <f>ROUNDUP('BİNA BİLGİLERİ'!B2/30,0)</f>
        <v>4</v>
      </c>
      <c r="E141" s="16">
        <f t="shared" si="39"/>
        <v>72.66</v>
      </c>
      <c r="F141" s="28">
        <f t="shared" si="40"/>
        <v>290.64</v>
      </c>
      <c r="I141" s="84">
        <v>35</v>
      </c>
      <c r="J141" s="28">
        <f t="shared" si="41"/>
        <v>140</v>
      </c>
      <c r="K141" s="28">
        <f t="shared" si="42"/>
        <v>42</v>
      </c>
      <c r="L141" s="28">
        <f t="shared" si="43"/>
        <v>54.494999999999997</v>
      </c>
      <c r="M141" s="86">
        <f t="shared" si="44"/>
        <v>0.29749999999999993</v>
      </c>
    </row>
    <row r="142" spans="1:13" ht="24.95" customHeight="1" x14ac:dyDescent="0.25">
      <c r="A142" s="27">
        <v>6</v>
      </c>
      <c r="B142" s="5" t="s">
        <v>52</v>
      </c>
      <c r="C142" s="6" t="s">
        <v>29</v>
      </c>
      <c r="D142" s="3">
        <f>ROUNDUP('BİNA BİLGİLERİ'!B2/33,0)</f>
        <v>4</v>
      </c>
      <c r="E142" s="16">
        <f t="shared" si="39"/>
        <v>149.47199999999998</v>
      </c>
      <c r="F142" s="28">
        <f t="shared" si="40"/>
        <v>597.88799999999992</v>
      </c>
      <c r="I142" s="84">
        <v>72</v>
      </c>
      <c r="J142" s="28">
        <f t="shared" si="41"/>
        <v>288</v>
      </c>
      <c r="K142" s="28">
        <f t="shared" si="42"/>
        <v>86.399999999999991</v>
      </c>
      <c r="L142" s="28">
        <f t="shared" si="43"/>
        <v>112.10399999999998</v>
      </c>
      <c r="M142" s="86">
        <f t="shared" si="44"/>
        <v>0.29749999999999993</v>
      </c>
    </row>
    <row r="143" spans="1:13" ht="24.95" customHeight="1" x14ac:dyDescent="0.25">
      <c r="A143" s="27">
        <v>7</v>
      </c>
      <c r="B143" s="5" t="s">
        <v>200</v>
      </c>
      <c r="C143" s="6" t="s">
        <v>29</v>
      </c>
      <c r="D143" s="3">
        <f>IF('BİNA BİLGİLERİ'!B2&lt;=100,2,2+ROUNDUP(('BİNA BİLGİLERİ'!B2-100)/100,0))</f>
        <v>3</v>
      </c>
      <c r="E143" s="16">
        <f t="shared" si="39"/>
        <v>207.6</v>
      </c>
      <c r="F143" s="28">
        <f t="shared" si="40"/>
        <v>622.79999999999995</v>
      </c>
      <c r="I143" s="84">
        <v>100</v>
      </c>
      <c r="J143" s="28">
        <f t="shared" si="41"/>
        <v>300</v>
      </c>
      <c r="K143" s="28">
        <f t="shared" si="42"/>
        <v>120</v>
      </c>
      <c r="L143" s="28">
        <f t="shared" si="43"/>
        <v>155.69999999999999</v>
      </c>
      <c r="M143" s="86">
        <f t="shared" si="44"/>
        <v>0.29749999999999993</v>
      </c>
    </row>
    <row r="144" spans="1:13" ht="24.95" customHeight="1" x14ac:dyDescent="0.25">
      <c r="A144" s="27">
        <v>8</v>
      </c>
      <c r="B144" s="5" t="s">
        <v>264</v>
      </c>
      <c r="C144" s="6" t="s">
        <v>29</v>
      </c>
      <c r="D144" s="3">
        <f>IF('BİNA BİLGİLERİ'!B2&lt;=100,2,2+ROUNDUP(('BİNA BİLGİLERİ'!B2-100)/100,0))</f>
        <v>3</v>
      </c>
      <c r="E144" s="16">
        <f t="shared" si="39"/>
        <v>301.02</v>
      </c>
      <c r="F144" s="28">
        <f t="shared" si="40"/>
        <v>903.06</v>
      </c>
      <c r="I144" s="84">
        <v>145</v>
      </c>
      <c r="J144" s="28">
        <f t="shared" si="41"/>
        <v>435</v>
      </c>
      <c r="K144" s="28">
        <f t="shared" si="42"/>
        <v>174</v>
      </c>
      <c r="L144" s="28">
        <f t="shared" si="43"/>
        <v>225.76499999999999</v>
      </c>
      <c r="M144" s="86">
        <f t="shared" si="44"/>
        <v>0.29749999999999993</v>
      </c>
    </row>
    <row r="145" spans="1:13" ht="24.95" customHeight="1" x14ac:dyDescent="0.25">
      <c r="A145" s="27">
        <v>9</v>
      </c>
      <c r="B145" s="5" t="s">
        <v>174</v>
      </c>
      <c r="C145" s="5" t="s">
        <v>24</v>
      </c>
      <c r="D145" s="3">
        <f>IF('BİNA BİLGİLERİ'!D33="NEM BARİYERİ",'BİNA BİLGİLERİ'!B33*'BİNA BİLGİLERİ'!B9*2,IF('BİNA BİLGİLERİ'!E33="NEM BARİYERİ",'BİNA BİLGİLERİ'!B33*'BİNA BİLGİLERİ'!B9*2,IF('BİNA BİLGİLERİ'!F33="NEM BARİYERİ",'BİNA BİLGİLERİ'!B33*'BİNA BİLGİLERİ'!B9*2,0)))+IF('BİNA BİLGİLERİ'!D32="NEM BARİYERİ",'BİNA BİLGİLERİ'!B32*'BİNA BİLGİLERİ'!B9,IF('BİNA BİLGİLERİ'!E32="NEM BARİYERİ",'BİNA BİLGİLERİ'!B32*'BİNA BİLGİLERİ'!B9,IF('BİNA BİLGİLERİ'!F32="NEM BARİYERİ",'BİNA BİLGİLERİ'!B32*'BİNA BİLGİLERİ'!B9,0)))+IF('BİNA BİLGİLERİ'!D34="NEM BARİYERİ",'BİNA BİLGİLERİ'!B34,IF('BİNA BİLGİLERİ'!E34="NEM BARİYERİ",'BİNA BİLGİLERİ'!B34,IF('BİNA BİLGİLERİ'!F34="NEM BARİYERİ",'BİNA BİLGİLERİ'!B34,0)))+IF('BİNA BİLGİLERİ'!D35="NEM BARİYERİ",'BİNA BİLGİLERİ'!B35,IF('BİNA BİLGİLERİ'!E35="NEM BARİYERİ",'BİNA BİLGİLERİ'!B35,IF('BİNA BİLGİLERİ'!F35="NEM BARİYERİ",'BİNA BİLGİLERİ'!B35,0)))</f>
        <v>422.12489599999998</v>
      </c>
      <c r="E145" s="16">
        <f t="shared" si="39"/>
        <v>45.671999999999997</v>
      </c>
      <c r="F145" s="33">
        <f t="shared" si="40"/>
        <v>19279.288250111997</v>
      </c>
      <c r="I145" s="84">
        <v>22</v>
      </c>
      <c r="J145" s="28">
        <f t="shared" si="41"/>
        <v>9286.7477120000003</v>
      </c>
      <c r="K145" s="28">
        <f t="shared" si="42"/>
        <v>26.4</v>
      </c>
      <c r="L145" s="28">
        <f t="shared" si="43"/>
        <v>34.253999999999998</v>
      </c>
      <c r="M145" s="86">
        <f t="shared" si="44"/>
        <v>0.29749999999999999</v>
      </c>
    </row>
    <row r="146" spans="1:13" ht="24.95" customHeight="1" x14ac:dyDescent="0.25">
      <c r="A146" s="27">
        <v>10</v>
      </c>
      <c r="B146" s="5" t="s">
        <v>175</v>
      </c>
      <c r="C146" s="5" t="s">
        <v>29</v>
      </c>
      <c r="D146" s="110"/>
      <c r="E146" s="16">
        <f t="shared" si="39"/>
        <v>0</v>
      </c>
      <c r="F146" s="33">
        <f t="shared" si="40"/>
        <v>0</v>
      </c>
      <c r="I146" s="33">
        <f>Y146*X146</f>
        <v>0</v>
      </c>
      <c r="J146" s="28">
        <f t="shared" si="41"/>
        <v>0</v>
      </c>
      <c r="K146" s="28">
        <f t="shared" si="42"/>
        <v>0</v>
      </c>
      <c r="L146" s="28">
        <f t="shared" si="43"/>
        <v>0</v>
      </c>
      <c r="M146" s="86" t="e">
        <f t="shared" si="44"/>
        <v>#DIV/0!</v>
      </c>
    </row>
    <row r="147" spans="1:13" ht="24.95" customHeight="1" x14ac:dyDescent="0.25">
      <c r="A147" s="27">
        <v>11</v>
      </c>
      <c r="B147" s="5" t="s">
        <v>25</v>
      </c>
      <c r="C147" s="5" t="s">
        <v>26</v>
      </c>
      <c r="D147" s="18">
        <f>IF('BİNA BİLGİLERİ'!D32="MEBRAN",('BİNA BİLGİLERİ'!B32*'BİNA BİLGİLERİ'!B9)/10,IF('BİNA BİLGİLERİ'!E32="MEBRAN",('BİNA BİLGİLERİ'!B32*'BİNA BİLGİLERİ'!B9)/10,IF('BİNA BİLGİLERİ'!F32="MEBRAN",('BİNA BİLGİLERİ'!B32*'BİNA BİLGİLERİ'!B9)/10,0)))+IF('BİNA BİLGİLERİ'!D33="MEBRAN",(('BİNA BİLGİLERİ'!B33*'BİNA BİLGİLERİ'!B9)/10)*2,IF('BİNA BİLGİLERİ'!E33="MEBRAN",(('BİNA BİLGİLERİ'!B33*'BİNA BİLGİLERİ'!B9)/10)*2,IF('BİNA BİLGİLERİ'!F33="MEBRAN",(('BİNA BİLGİLERİ'!B33*'BİNA BİLGİLERİ'!B9)/10)*2,0)))+IF('BİNA BİLGİLERİ'!D34="MEBRAN",'BİNA BİLGİLERİ'!B34/10,IF('BİNA BİLGİLERİ'!E34="MEBRAN",'BİNA BİLGİLERİ'!B34/10,IF('BİNA BİLGİLERİ'!F34="MEBRAN",'BİNA BİLGİLERİ'!B34/10,0)))+IF('BİNA BİLGİLERİ'!D35="MEBRAN",'BİNA BİLGİLERİ'!B35/10,IF('BİNA BİLGİLERİ'!E35="MEBRAN",'BİNA BİLGİLERİ'!B35/10,IF('BİNA BİLGİLERİ'!F35="MEBRAN",'BİNA BİLGİLERİ'!B35/10,0)))</f>
        <v>0</v>
      </c>
      <c r="E147" s="16">
        <f t="shared" si="39"/>
        <v>0</v>
      </c>
      <c r="F147" s="33">
        <f t="shared" si="40"/>
        <v>0</v>
      </c>
      <c r="I147" s="33">
        <f>Y147*X147</f>
        <v>0</v>
      </c>
      <c r="J147" s="28">
        <f t="shared" si="41"/>
        <v>0</v>
      </c>
      <c r="K147" s="28">
        <f t="shared" si="42"/>
        <v>0</v>
      </c>
      <c r="L147" s="28">
        <f t="shared" si="43"/>
        <v>0</v>
      </c>
      <c r="M147" s="86" t="e">
        <f t="shared" si="44"/>
        <v>#DIV/0!</v>
      </c>
    </row>
    <row r="148" spans="1:13" ht="24.95" customHeight="1" x14ac:dyDescent="0.25">
      <c r="A148" s="27">
        <v>12</v>
      </c>
      <c r="B148" s="5" t="s">
        <v>176</v>
      </c>
      <c r="C148" s="5" t="s">
        <v>26</v>
      </c>
      <c r="D148" s="18">
        <f>IF('BİNA BİLGİLERİ'!D32="ARDUAZLI MEBRAN",('BİNA BİLGİLERİ'!B32*'BİNA BİLGİLERİ'!B9)/10,IF('BİNA BİLGİLERİ'!E32="ARDUAZLI MEBRAN",('BİNA BİLGİLERİ'!B32*'BİNA BİLGİLERİ'!B9)/10,IF('BİNA BİLGİLERİ'!F32="ARDUAZLI MEBRAN",('BİNA BİLGİLERİ'!B32*'BİNA BİLGİLERİ'!B9)/10,0)))+IF('BİNA BİLGİLERİ'!D33="ARDUAZLI MEBRAN",(('BİNA BİLGİLERİ'!B33*'BİNA BİLGİLERİ'!B9)/10)*2,IF('BİNA BİLGİLERİ'!E33="ARDUAZLI MEBRAN",(('BİNA BİLGİLERİ'!B33*'BİNA BİLGİLERİ'!B9)/10)*2,IF('BİNA BİLGİLERİ'!F33="ARDUAZLI MEBRAN",(('BİNA BİLGİLERİ'!B33*'BİNA BİLGİLERİ'!B9)/10)*2,0)))+IF('BİNA BİLGİLERİ'!D34="ARDUAZLI MEBRAN",'BİNA BİLGİLERİ'!B34/10,IF('BİNA BİLGİLERİ'!E34="ARDUAZLI MEBRAN",'BİNA BİLGİLERİ'!B34/10,IF('BİNA BİLGİLERİ'!F34="ARDUAZLI MEBRAN",'BİNA BİLGİLERİ'!B34/10,0)))+IF('BİNA BİLGİLERİ'!D35="ARDUAZLI MEBRAN",'BİNA BİLGİLERİ'!B35/10,IF('BİNA BİLGİLERİ'!E35="ARDUAZLI MEBRAN",'BİNA BİLGİLERİ'!B35/10,IF('BİNA BİLGİLERİ'!F35="ARDUAZLI MEBRAN",'BİNA BİLGİLERİ'!B35/10,0)))</f>
        <v>0</v>
      </c>
      <c r="E148" s="16">
        <f t="shared" si="39"/>
        <v>0</v>
      </c>
      <c r="F148" s="33">
        <f t="shared" si="40"/>
        <v>0</v>
      </c>
      <c r="I148" s="33">
        <f>Y148*X148</f>
        <v>0</v>
      </c>
      <c r="J148" s="28">
        <f t="shared" si="41"/>
        <v>0</v>
      </c>
      <c r="K148" s="28">
        <f t="shared" si="42"/>
        <v>0</v>
      </c>
      <c r="L148" s="28">
        <f t="shared" si="43"/>
        <v>0</v>
      </c>
      <c r="M148" s="86" t="e">
        <f t="shared" si="44"/>
        <v>#DIV/0!</v>
      </c>
    </row>
    <row r="149" spans="1:13" ht="24.95" customHeight="1" x14ac:dyDescent="0.25">
      <c r="A149" s="27">
        <v>13</v>
      </c>
      <c r="B149" s="5" t="s">
        <v>177</v>
      </c>
      <c r="C149" s="5" t="s">
        <v>27</v>
      </c>
      <c r="D149" s="111"/>
      <c r="E149" s="16">
        <f t="shared" si="39"/>
        <v>0</v>
      </c>
      <c r="F149" s="33">
        <f t="shared" si="40"/>
        <v>0</v>
      </c>
      <c r="I149" s="33">
        <f>Y149*X149</f>
        <v>0</v>
      </c>
      <c r="J149" s="28">
        <f t="shared" si="41"/>
        <v>0</v>
      </c>
      <c r="K149" s="28">
        <f t="shared" si="42"/>
        <v>0</v>
      </c>
      <c r="L149" s="28">
        <f t="shared" si="43"/>
        <v>0</v>
      </c>
      <c r="M149" s="86" t="e">
        <f t="shared" si="44"/>
        <v>#DIV/0!</v>
      </c>
    </row>
    <row r="150" spans="1:13" ht="24.95" customHeight="1" x14ac:dyDescent="0.25">
      <c r="A150" s="27">
        <v>14</v>
      </c>
      <c r="B150" s="5" t="s">
        <v>126</v>
      </c>
      <c r="C150" s="6" t="s">
        <v>160</v>
      </c>
      <c r="D150" s="32">
        <f>ROUNDUP(('BİNA BİLGİLERİ'!B32*'BİNA BİLGİLERİ'!B9)*IF('BİNA BİLGİLERİ'!C3=80,2,IF('BİNA BİLGİLERİ'!C3=90,2,IF('BİNA BİLGİLERİ'!C3=140,3,IF('BİNA BİLGİLERİ'!C3=200,4,IF('BİNA BİLGİLERİ'!C3=300,6,0)))))/14.4,0)+ROUNDUP(('BİNA BİLGİLERİ'!B33*'BİNA BİLGİLERİ'!B9)*IF('BİNA BİLGİLERİ'!E3=80,2,IF('BİNA BİLGİLERİ'!E3=90,2,IF('BİNA BİLGİLERİ'!E3=140,3,IF('BİNA BİLGİLERİ'!E3=200,4,IF('BİNA BİLGİLERİ'!E3=300,6,0)))))/14.4,0)</f>
        <v>29</v>
      </c>
      <c r="E150" s="16">
        <f t="shared" si="39"/>
        <v>1376.3879999999999</v>
      </c>
      <c r="F150" s="33">
        <f t="shared" si="40"/>
        <v>39915.252</v>
      </c>
      <c r="I150" s="84">
        <v>663</v>
      </c>
      <c r="J150" s="28">
        <f t="shared" si="41"/>
        <v>19227</v>
      </c>
      <c r="K150" s="28">
        <f t="shared" si="42"/>
        <v>795.6</v>
      </c>
      <c r="L150" s="28">
        <f t="shared" si="43"/>
        <v>1032.2909999999999</v>
      </c>
      <c r="M150" s="86">
        <f t="shared" si="44"/>
        <v>0.29749999999999988</v>
      </c>
    </row>
    <row r="151" spans="1:13" ht="24.95" customHeight="1" x14ac:dyDescent="0.25">
      <c r="A151" s="27">
        <v>15</v>
      </c>
      <c r="B151" s="5" t="s">
        <v>204</v>
      </c>
      <c r="C151" s="6" t="s">
        <v>203</v>
      </c>
      <c r="D151" s="32">
        <f>ROUNDUP('BİNA BİLGİLERİ'!B12/9.6,0)</f>
        <v>11</v>
      </c>
      <c r="E151" s="16">
        <f t="shared" si="39"/>
        <v>1170.8639999999998</v>
      </c>
      <c r="F151" s="33">
        <f t="shared" si="40"/>
        <v>12879.503999999997</v>
      </c>
      <c r="I151" s="84">
        <v>564</v>
      </c>
      <c r="J151" s="28">
        <f t="shared" si="41"/>
        <v>6204</v>
      </c>
      <c r="K151" s="28">
        <f t="shared" si="42"/>
        <v>676.8</v>
      </c>
      <c r="L151" s="28">
        <f t="shared" si="43"/>
        <v>878.14799999999991</v>
      </c>
      <c r="M151" s="86">
        <f t="shared" si="44"/>
        <v>0.29749999999999993</v>
      </c>
    </row>
    <row r="152" spans="1:13" ht="24.95" customHeight="1" x14ac:dyDescent="0.25">
      <c r="A152" s="259"/>
      <c r="B152" s="260"/>
      <c r="C152" s="261"/>
      <c r="D152" s="66" t="s">
        <v>5</v>
      </c>
      <c r="E152" s="69"/>
      <c r="F152" s="68">
        <f>SUBTOTAL(9,F137:F151)</f>
        <v>75190.95065011199</v>
      </c>
      <c r="I152" s="68">
        <f>SUBTOTAL(9,I137:I151)</f>
        <v>1679.12</v>
      </c>
      <c r="J152" s="68">
        <f>SUBTOTAL(9,J137:J151)</f>
        <v>36219.147711999998</v>
      </c>
      <c r="K152" s="68">
        <f>SUBTOTAL(9,K137:K151)</f>
        <v>2014.944</v>
      </c>
      <c r="L152" s="68">
        <f>SUBTOTAL(9,L137:L151)</f>
        <v>2614.3898399999998</v>
      </c>
      <c r="M152" s="88"/>
    </row>
    <row r="153" spans="1:13" ht="24.95" customHeight="1" x14ac:dyDescent="0.25">
      <c r="A153" s="254" t="s">
        <v>137</v>
      </c>
      <c r="B153" s="255"/>
      <c r="C153" s="73"/>
      <c r="D153" s="78">
        <v>1008</v>
      </c>
      <c r="E153" s="79"/>
      <c r="F153" s="76"/>
      <c r="I153" s="76"/>
      <c r="J153" s="76"/>
      <c r="K153" s="76"/>
      <c r="L153" s="76"/>
      <c r="M153" s="89"/>
    </row>
    <row r="154" spans="1:13" ht="24.95" customHeight="1" x14ac:dyDescent="0.25">
      <c r="A154" s="27">
        <v>1</v>
      </c>
      <c r="B154" s="5" t="s">
        <v>178</v>
      </c>
      <c r="C154" s="6" t="s">
        <v>29</v>
      </c>
      <c r="D154" s="13">
        <f>H154*('BİNA BİLGİLERİ'!$B$62+'BİNA BİLGİLERİ'!$E$62)</f>
        <v>16</v>
      </c>
      <c r="E154" s="16">
        <f t="shared" ref="E154:E192" si="45">K154*1.73</f>
        <v>197.22</v>
      </c>
      <c r="F154" s="28">
        <f t="shared" ref="F154:F192" si="46">E154*D154</f>
        <v>3155.52</v>
      </c>
      <c r="H154">
        <v>8</v>
      </c>
      <c r="I154" s="28">
        <v>95</v>
      </c>
      <c r="J154" s="28">
        <f t="shared" ref="J154:J192" si="47">I154*D154</f>
        <v>1520</v>
      </c>
      <c r="K154" s="28">
        <f t="shared" ref="K154:K192" si="48">I154*1.2</f>
        <v>114</v>
      </c>
      <c r="L154" s="28">
        <f t="shared" ref="L154:L192" si="49">E154-E154*$E$223/100</f>
        <v>147.91499999999999</v>
      </c>
      <c r="M154" s="86">
        <f t="shared" ref="M154:M192" si="50">(L154-K154)/K154</f>
        <v>0.29749999999999993</v>
      </c>
    </row>
    <row r="155" spans="1:13" ht="24.95" customHeight="1" x14ac:dyDescent="0.25">
      <c r="A155" s="27">
        <v>2</v>
      </c>
      <c r="B155" s="5" t="s">
        <v>179</v>
      </c>
      <c r="C155" s="6" t="s">
        <v>29</v>
      </c>
      <c r="D155" s="13">
        <f>H155*('BİNA BİLGİLERİ'!$B$62+'BİNA BİLGİLERİ'!$E$62)</f>
        <v>32</v>
      </c>
      <c r="E155" s="16">
        <f t="shared" si="45"/>
        <v>6.2279999999999998</v>
      </c>
      <c r="F155" s="28">
        <f t="shared" si="46"/>
        <v>199.29599999999999</v>
      </c>
      <c r="H155">
        <v>16</v>
      </c>
      <c r="I155" s="28">
        <v>3</v>
      </c>
      <c r="J155" s="28">
        <f t="shared" si="47"/>
        <v>96</v>
      </c>
      <c r="K155" s="28">
        <f t="shared" si="48"/>
        <v>3.5999999999999996</v>
      </c>
      <c r="L155" s="28">
        <f t="shared" si="49"/>
        <v>4.6709999999999994</v>
      </c>
      <c r="M155" s="86">
        <f t="shared" si="50"/>
        <v>0.29749999999999993</v>
      </c>
    </row>
    <row r="156" spans="1:13" ht="24.95" customHeight="1" x14ac:dyDescent="0.25">
      <c r="A156" s="27">
        <v>3</v>
      </c>
      <c r="B156" s="5" t="s">
        <v>53</v>
      </c>
      <c r="C156" s="6" t="s">
        <v>29</v>
      </c>
      <c r="D156" s="13">
        <f>H156*('BİNA BİLGİLERİ'!$B$62+'BİNA BİLGİLERİ'!$E$62)</f>
        <v>4</v>
      </c>
      <c r="E156" s="16">
        <f t="shared" si="45"/>
        <v>65.186399999999992</v>
      </c>
      <c r="F156" s="28">
        <f t="shared" si="46"/>
        <v>260.74559999999997</v>
      </c>
      <c r="H156">
        <v>2</v>
      </c>
      <c r="I156" s="28">
        <v>31.4</v>
      </c>
      <c r="J156" s="28">
        <f t="shared" si="47"/>
        <v>125.6</v>
      </c>
      <c r="K156" s="28">
        <f t="shared" si="48"/>
        <v>37.68</v>
      </c>
      <c r="L156" s="28">
        <f t="shared" si="49"/>
        <v>48.889799999999994</v>
      </c>
      <c r="M156" s="86">
        <f t="shared" si="50"/>
        <v>0.29749999999999988</v>
      </c>
    </row>
    <row r="157" spans="1:13" ht="24.95" customHeight="1" x14ac:dyDescent="0.25">
      <c r="A157" s="27">
        <v>4</v>
      </c>
      <c r="B157" s="5" t="s">
        <v>54</v>
      </c>
      <c r="C157" s="6" t="s">
        <v>29</v>
      </c>
      <c r="D157" s="13">
        <f>H157*('BİNA BİLGİLERİ'!$B$62+'BİNA BİLGİLERİ'!$E$62)</f>
        <v>14</v>
      </c>
      <c r="E157" s="16">
        <f t="shared" si="45"/>
        <v>9.4873200000000004</v>
      </c>
      <c r="F157" s="28">
        <f t="shared" si="46"/>
        <v>132.82248000000001</v>
      </c>
      <c r="H157">
        <v>7</v>
      </c>
      <c r="I157" s="28">
        <v>4.57</v>
      </c>
      <c r="J157" s="28">
        <f t="shared" si="47"/>
        <v>63.980000000000004</v>
      </c>
      <c r="K157" s="28">
        <f t="shared" si="48"/>
        <v>5.484</v>
      </c>
      <c r="L157" s="28">
        <f t="shared" si="49"/>
        <v>7.1154900000000003</v>
      </c>
      <c r="M157" s="86">
        <f t="shared" si="50"/>
        <v>0.29750000000000004</v>
      </c>
    </row>
    <row r="158" spans="1:13" ht="24.95" customHeight="1" x14ac:dyDescent="0.25">
      <c r="A158" s="27">
        <v>5</v>
      </c>
      <c r="B158" s="5" t="s">
        <v>55</v>
      </c>
      <c r="C158" s="6" t="s">
        <v>29</v>
      </c>
      <c r="D158" s="13">
        <f>H158*('BİNA BİLGİLERİ'!$B$62+'BİNA BİLGİLERİ'!$E$62)</f>
        <v>10</v>
      </c>
      <c r="E158" s="16">
        <f t="shared" si="45"/>
        <v>64.355999999999995</v>
      </c>
      <c r="F158" s="28">
        <f t="shared" si="46"/>
        <v>643.55999999999995</v>
      </c>
      <c r="H158">
        <v>5</v>
      </c>
      <c r="I158" s="28">
        <v>31</v>
      </c>
      <c r="J158" s="28">
        <f t="shared" si="47"/>
        <v>310</v>
      </c>
      <c r="K158" s="28">
        <f t="shared" si="48"/>
        <v>37.199999999999996</v>
      </c>
      <c r="L158" s="28">
        <f t="shared" si="49"/>
        <v>48.266999999999996</v>
      </c>
      <c r="M158" s="86">
        <f t="shared" si="50"/>
        <v>0.29750000000000004</v>
      </c>
    </row>
    <row r="159" spans="1:13" ht="24.95" customHeight="1" x14ac:dyDescent="0.25">
      <c r="A159" s="27">
        <v>6</v>
      </c>
      <c r="B159" s="5" t="s">
        <v>180</v>
      </c>
      <c r="C159" s="6" t="s">
        <v>29</v>
      </c>
      <c r="D159" s="13">
        <f>H159*('BİNA BİLGİLERİ'!$B$62+'BİNA BİLGİLERİ'!$E$62)</f>
        <v>8</v>
      </c>
      <c r="E159" s="16">
        <f t="shared" si="45"/>
        <v>4.4841600000000001</v>
      </c>
      <c r="F159" s="28">
        <f t="shared" si="46"/>
        <v>35.873280000000001</v>
      </c>
      <c r="H159">
        <v>4</v>
      </c>
      <c r="I159" s="28">
        <v>2.16</v>
      </c>
      <c r="J159" s="28">
        <f t="shared" si="47"/>
        <v>17.28</v>
      </c>
      <c r="K159" s="28">
        <f t="shared" si="48"/>
        <v>2.5920000000000001</v>
      </c>
      <c r="L159" s="28">
        <f t="shared" si="49"/>
        <v>3.3631200000000003</v>
      </c>
      <c r="M159" s="86">
        <f t="shared" si="50"/>
        <v>0.2975000000000001</v>
      </c>
    </row>
    <row r="160" spans="1:13" ht="24.95" customHeight="1" x14ac:dyDescent="0.25">
      <c r="A160" s="27">
        <v>7</v>
      </c>
      <c r="B160" s="5" t="s">
        <v>181</v>
      </c>
      <c r="C160" s="6" t="s">
        <v>29</v>
      </c>
      <c r="D160" s="13">
        <f>H160*('BİNA BİLGİLERİ'!$B$62+'BİNA BİLGİLERİ'!$E$62)</f>
        <v>10</v>
      </c>
      <c r="E160" s="16">
        <f t="shared" si="45"/>
        <v>24.911999999999999</v>
      </c>
      <c r="F160" s="28">
        <f t="shared" si="46"/>
        <v>249.12</v>
      </c>
      <c r="H160">
        <v>5</v>
      </c>
      <c r="I160" s="28">
        <v>12</v>
      </c>
      <c r="J160" s="28">
        <f t="shared" si="47"/>
        <v>120</v>
      </c>
      <c r="K160" s="28">
        <f t="shared" si="48"/>
        <v>14.399999999999999</v>
      </c>
      <c r="L160" s="28">
        <f t="shared" si="49"/>
        <v>18.683999999999997</v>
      </c>
      <c r="M160" s="86">
        <f t="shared" si="50"/>
        <v>0.29749999999999993</v>
      </c>
    </row>
    <row r="161" spans="1:13" ht="24.95" customHeight="1" x14ac:dyDescent="0.25">
      <c r="A161" s="27">
        <v>8</v>
      </c>
      <c r="B161" s="5" t="s">
        <v>64</v>
      </c>
      <c r="C161" s="6" t="s">
        <v>29</v>
      </c>
      <c r="D161" s="13">
        <f>H161*('BİNA BİLGİLERİ'!$B$62+'BİNA BİLGİLERİ'!$E$62)</f>
        <v>30</v>
      </c>
      <c r="E161" s="16">
        <f t="shared" si="45"/>
        <v>3.8821200000000005</v>
      </c>
      <c r="F161" s="28">
        <f t="shared" si="46"/>
        <v>116.46360000000001</v>
      </c>
      <c r="H161">
        <v>15</v>
      </c>
      <c r="I161" s="28">
        <v>1.87</v>
      </c>
      <c r="J161" s="28">
        <f t="shared" si="47"/>
        <v>56.1</v>
      </c>
      <c r="K161" s="28">
        <f t="shared" si="48"/>
        <v>2.2440000000000002</v>
      </c>
      <c r="L161" s="28">
        <f t="shared" si="49"/>
        <v>2.9115900000000003</v>
      </c>
      <c r="M161" s="86">
        <f t="shared" si="50"/>
        <v>0.29750000000000004</v>
      </c>
    </row>
    <row r="162" spans="1:13" ht="24.95" customHeight="1" x14ac:dyDescent="0.25">
      <c r="A162" s="27">
        <v>9</v>
      </c>
      <c r="B162" s="5" t="s">
        <v>91</v>
      </c>
      <c r="C162" s="6" t="s">
        <v>29</v>
      </c>
      <c r="D162" s="13">
        <f>H162*('BİNA BİLGİLERİ'!$B$62+'BİNA BİLGİLERİ'!$E$62)</f>
        <v>2</v>
      </c>
      <c r="E162" s="16">
        <f t="shared" si="45"/>
        <v>423.50399999999996</v>
      </c>
      <c r="F162" s="28">
        <f t="shared" si="46"/>
        <v>847.00799999999992</v>
      </c>
      <c r="H162">
        <v>1</v>
      </c>
      <c r="I162" s="28">
        <v>204</v>
      </c>
      <c r="J162" s="28">
        <f t="shared" si="47"/>
        <v>408</v>
      </c>
      <c r="K162" s="28">
        <f t="shared" si="48"/>
        <v>244.79999999999998</v>
      </c>
      <c r="L162" s="28">
        <f t="shared" si="49"/>
        <v>317.62799999999999</v>
      </c>
      <c r="M162" s="86">
        <f t="shared" si="50"/>
        <v>0.29750000000000004</v>
      </c>
    </row>
    <row r="163" spans="1:13" ht="24.95" customHeight="1" x14ac:dyDescent="0.25">
      <c r="A163" s="27">
        <v>10</v>
      </c>
      <c r="B163" s="5" t="s">
        <v>56</v>
      </c>
      <c r="C163" s="6" t="s">
        <v>29</v>
      </c>
      <c r="D163" s="13">
        <f>H163*('BİNA BİLGİLERİ'!$B$62+'BİNA BİLGİLERİ'!$E$62)</f>
        <v>4</v>
      </c>
      <c r="E163" s="16">
        <f t="shared" si="45"/>
        <v>218.60279999999997</v>
      </c>
      <c r="F163" s="28">
        <f t="shared" si="46"/>
        <v>874.41119999999989</v>
      </c>
      <c r="H163">
        <v>2</v>
      </c>
      <c r="I163" s="28">
        <v>105.3</v>
      </c>
      <c r="J163" s="28">
        <f t="shared" si="47"/>
        <v>421.2</v>
      </c>
      <c r="K163" s="28">
        <f t="shared" si="48"/>
        <v>126.35999999999999</v>
      </c>
      <c r="L163" s="28">
        <f t="shared" si="49"/>
        <v>163.95209999999997</v>
      </c>
      <c r="M163" s="86">
        <f t="shared" si="50"/>
        <v>0.29749999999999993</v>
      </c>
    </row>
    <row r="164" spans="1:13" ht="24.95" customHeight="1" x14ac:dyDescent="0.25">
      <c r="A164" s="27">
        <v>11</v>
      </c>
      <c r="B164" s="5" t="s">
        <v>57</v>
      </c>
      <c r="C164" s="6" t="s">
        <v>29</v>
      </c>
      <c r="D164" s="13">
        <f>H164*('BİNA BİLGİLERİ'!$B$62+'BİNA BİLGİLERİ'!$E$62)</f>
        <v>2</v>
      </c>
      <c r="E164" s="16">
        <f t="shared" si="45"/>
        <v>110.02799999999999</v>
      </c>
      <c r="F164" s="28">
        <f t="shared" si="46"/>
        <v>220.05599999999998</v>
      </c>
      <c r="H164">
        <v>1</v>
      </c>
      <c r="I164" s="28">
        <v>53</v>
      </c>
      <c r="J164" s="28">
        <f t="shared" si="47"/>
        <v>106</v>
      </c>
      <c r="K164" s="28">
        <f t="shared" si="48"/>
        <v>63.599999999999994</v>
      </c>
      <c r="L164" s="28">
        <f t="shared" si="49"/>
        <v>82.520999999999987</v>
      </c>
      <c r="M164" s="86">
        <f t="shared" si="50"/>
        <v>0.29749999999999993</v>
      </c>
    </row>
    <row r="165" spans="1:13" ht="24.95" customHeight="1" x14ac:dyDescent="0.25">
      <c r="A165" s="27">
        <v>12</v>
      </c>
      <c r="B165" s="5" t="s">
        <v>58</v>
      </c>
      <c r="C165" s="6" t="s">
        <v>29</v>
      </c>
      <c r="D165" s="13">
        <f>H165*('BİNA BİLGİLERİ'!$B$62+'BİNA BİLGİLERİ'!$E$62)</f>
        <v>2</v>
      </c>
      <c r="E165" s="16">
        <f t="shared" si="45"/>
        <v>122.48399999999999</v>
      </c>
      <c r="F165" s="28">
        <f t="shared" si="46"/>
        <v>244.96799999999999</v>
      </c>
      <c r="H165">
        <v>1</v>
      </c>
      <c r="I165" s="28">
        <v>59</v>
      </c>
      <c r="J165" s="28">
        <f t="shared" si="47"/>
        <v>118</v>
      </c>
      <c r="K165" s="28">
        <f t="shared" si="48"/>
        <v>70.8</v>
      </c>
      <c r="L165" s="28">
        <f t="shared" si="49"/>
        <v>91.863</v>
      </c>
      <c r="M165" s="86">
        <f t="shared" si="50"/>
        <v>0.29750000000000004</v>
      </c>
    </row>
    <row r="166" spans="1:13" ht="24.95" customHeight="1" x14ac:dyDescent="0.25">
      <c r="A166" s="27">
        <v>13</v>
      </c>
      <c r="B166" s="5" t="s">
        <v>95</v>
      </c>
      <c r="C166" s="6" t="s">
        <v>29</v>
      </c>
      <c r="D166" s="13">
        <f>H166*('BİNA BİLGİLERİ'!$B$62+'BİNA BİLGİLERİ'!$E$62)</f>
        <v>2</v>
      </c>
      <c r="E166" s="16">
        <f t="shared" si="45"/>
        <v>184.76399999999998</v>
      </c>
      <c r="F166" s="28">
        <f t="shared" si="46"/>
        <v>369.52799999999996</v>
      </c>
      <c r="H166">
        <v>1</v>
      </c>
      <c r="I166" s="28">
        <v>89</v>
      </c>
      <c r="J166" s="28">
        <f t="shared" si="47"/>
        <v>178</v>
      </c>
      <c r="K166" s="28">
        <f t="shared" si="48"/>
        <v>106.8</v>
      </c>
      <c r="L166" s="28">
        <f t="shared" si="49"/>
        <v>138.57299999999998</v>
      </c>
      <c r="M166" s="86">
        <f t="shared" si="50"/>
        <v>0.29749999999999982</v>
      </c>
    </row>
    <row r="167" spans="1:13" ht="24.95" customHeight="1" x14ac:dyDescent="0.25">
      <c r="A167" s="27">
        <v>14</v>
      </c>
      <c r="B167" s="5" t="s">
        <v>59</v>
      </c>
      <c r="C167" s="6" t="s">
        <v>29</v>
      </c>
      <c r="D167" s="13">
        <f>H167*('BİNA BİLGİLERİ'!$B$62+'BİNA BİLGİLERİ'!$E$62)</f>
        <v>10</v>
      </c>
      <c r="E167" s="16">
        <f t="shared" si="45"/>
        <v>49.907039999999995</v>
      </c>
      <c r="F167" s="28">
        <f t="shared" si="46"/>
        <v>499.07039999999995</v>
      </c>
      <c r="H167">
        <v>5</v>
      </c>
      <c r="I167" s="28">
        <v>24.04</v>
      </c>
      <c r="J167" s="28">
        <f t="shared" si="47"/>
        <v>240.39999999999998</v>
      </c>
      <c r="K167" s="28">
        <f t="shared" si="48"/>
        <v>28.847999999999999</v>
      </c>
      <c r="L167" s="28">
        <f t="shared" si="49"/>
        <v>37.430279999999996</v>
      </c>
      <c r="M167" s="86">
        <f t="shared" si="50"/>
        <v>0.29749999999999993</v>
      </c>
    </row>
    <row r="168" spans="1:13" ht="24.95" customHeight="1" x14ac:dyDescent="0.25">
      <c r="A168" s="27">
        <v>15</v>
      </c>
      <c r="B168" s="5" t="s">
        <v>60</v>
      </c>
      <c r="C168" s="6" t="s">
        <v>29</v>
      </c>
      <c r="D168" s="13">
        <f>H168*('BİNA BİLGİLERİ'!$B$62+'BİNA BİLGİLERİ'!$E$62)</f>
        <v>10</v>
      </c>
      <c r="E168" s="16">
        <f t="shared" si="45"/>
        <v>83.579759999999993</v>
      </c>
      <c r="F168" s="28">
        <f t="shared" si="46"/>
        <v>835.79759999999987</v>
      </c>
      <c r="H168">
        <v>5</v>
      </c>
      <c r="I168" s="28">
        <v>40.26</v>
      </c>
      <c r="J168" s="28">
        <f t="shared" si="47"/>
        <v>402.59999999999997</v>
      </c>
      <c r="K168" s="28">
        <f t="shared" si="48"/>
        <v>48.311999999999998</v>
      </c>
      <c r="L168" s="28">
        <f t="shared" si="49"/>
        <v>62.684819999999995</v>
      </c>
      <c r="M168" s="86">
        <f t="shared" si="50"/>
        <v>0.29749999999999993</v>
      </c>
    </row>
    <row r="169" spans="1:13" ht="24.95" customHeight="1" x14ac:dyDescent="0.25">
      <c r="A169" s="27">
        <v>16</v>
      </c>
      <c r="B169" s="5" t="s">
        <v>61</v>
      </c>
      <c r="C169" s="6" t="s">
        <v>29</v>
      </c>
      <c r="D169" s="13">
        <f>H169*('BİNA BİLGİLERİ'!$B$62+'BİNA BİLGİLERİ'!$E$62)</f>
        <v>6</v>
      </c>
      <c r="E169" s="16">
        <f t="shared" si="45"/>
        <v>51.381</v>
      </c>
      <c r="F169" s="28">
        <f t="shared" si="46"/>
        <v>308.286</v>
      </c>
      <c r="H169">
        <v>3</v>
      </c>
      <c r="I169" s="28">
        <v>24.75</v>
      </c>
      <c r="J169" s="28">
        <f t="shared" si="47"/>
        <v>148.5</v>
      </c>
      <c r="K169" s="28">
        <f t="shared" si="48"/>
        <v>29.7</v>
      </c>
      <c r="L169" s="28">
        <f t="shared" si="49"/>
        <v>38.53575</v>
      </c>
      <c r="M169" s="86">
        <f t="shared" si="50"/>
        <v>0.29750000000000004</v>
      </c>
    </row>
    <row r="170" spans="1:13" ht="24.95" customHeight="1" x14ac:dyDescent="0.25">
      <c r="A170" s="27">
        <v>17</v>
      </c>
      <c r="B170" s="5" t="s">
        <v>62</v>
      </c>
      <c r="C170" s="6" t="s">
        <v>29</v>
      </c>
      <c r="D170" s="13">
        <f>H170*('BİNA BİLGİLERİ'!$B$62+'BİNA BİLGİLERİ'!$E$62)</f>
        <v>10</v>
      </c>
      <c r="E170" s="16">
        <f t="shared" si="45"/>
        <v>25.472519999999996</v>
      </c>
      <c r="F170" s="28">
        <f t="shared" si="46"/>
        <v>254.72519999999997</v>
      </c>
      <c r="H170">
        <v>5</v>
      </c>
      <c r="I170" s="28">
        <v>12.27</v>
      </c>
      <c r="J170" s="28">
        <f t="shared" si="47"/>
        <v>122.69999999999999</v>
      </c>
      <c r="K170" s="28">
        <f t="shared" si="48"/>
        <v>14.723999999999998</v>
      </c>
      <c r="L170" s="28">
        <f t="shared" si="49"/>
        <v>19.104389999999995</v>
      </c>
      <c r="M170" s="86">
        <f t="shared" si="50"/>
        <v>0.29749999999999982</v>
      </c>
    </row>
    <row r="171" spans="1:13" ht="24.95" customHeight="1" x14ac:dyDescent="0.25">
      <c r="A171" s="27">
        <v>18</v>
      </c>
      <c r="B171" s="5" t="s">
        <v>63</v>
      </c>
      <c r="C171" s="6" t="s">
        <v>29</v>
      </c>
      <c r="D171" s="13">
        <f>H171*('BİNA BİLGİLERİ'!$B$62+'BİNA BİLGİLERİ'!$E$62)</f>
        <v>10</v>
      </c>
      <c r="E171" s="16">
        <f t="shared" si="45"/>
        <v>29.894400000000001</v>
      </c>
      <c r="F171" s="28">
        <f t="shared" si="46"/>
        <v>298.94400000000002</v>
      </c>
      <c r="H171">
        <v>5</v>
      </c>
      <c r="I171" s="28">
        <v>14.4</v>
      </c>
      <c r="J171" s="28">
        <f t="shared" si="47"/>
        <v>144</v>
      </c>
      <c r="K171" s="28">
        <f t="shared" si="48"/>
        <v>17.28</v>
      </c>
      <c r="L171" s="28">
        <f t="shared" si="49"/>
        <v>22.4208</v>
      </c>
      <c r="M171" s="86">
        <f t="shared" si="50"/>
        <v>0.29749999999999993</v>
      </c>
    </row>
    <row r="172" spans="1:13" ht="24.95" customHeight="1" x14ac:dyDescent="0.25">
      <c r="A172" s="27">
        <v>19</v>
      </c>
      <c r="B172" s="5" t="s">
        <v>65</v>
      </c>
      <c r="C172" s="6" t="s">
        <v>29</v>
      </c>
      <c r="D172" s="13">
        <f>H172*('BİNA BİLGİLERİ'!$B$62+'BİNA BİLGİLERİ'!$E$62)</f>
        <v>2</v>
      </c>
      <c r="E172" s="16">
        <f t="shared" si="45"/>
        <v>93.42</v>
      </c>
      <c r="F172" s="28">
        <f t="shared" si="46"/>
        <v>186.84</v>
      </c>
      <c r="H172">
        <v>1</v>
      </c>
      <c r="I172" s="28">
        <v>45</v>
      </c>
      <c r="J172" s="28">
        <f t="shared" si="47"/>
        <v>90</v>
      </c>
      <c r="K172" s="28">
        <f t="shared" si="48"/>
        <v>54</v>
      </c>
      <c r="L172" s="28">
        <f t="shared" si="49"/>
        <v>70.064999999999998</v>
      </c>
      <c r="M172" s="86">
        <f t="shared" si="50"/>
        <v>0.29749999999999993</v>
      </c>
    </row>
    <row r="173" spans="1:13" ht="24.95" customHeight="1" x14ac:dyDescent="0.25">
      <c r="A173" s="27">
        <v>20</v>
      </c>
      <c r="B173" s="5" t="s">
        <v>66</v>
      </c>
      <c r="C173" s="6" t="s">
        <v>29</v>
      </c>
      <c r="D173" s="13">
        <f>H173*('BİNA BİLGİLERİ'!$B$62+'BİNA BİLGİLERİ'!$E$62)</f>
        <v>10</v>
      </c>
      <c r="E173" s="16">
        <f t="shared" si="45"/>
        <v>16.608000000000001</v>
      </c>
      <c r="F173" s="28">
        <f t="shared" si="46"/>
        <v>166.08</v>
      </c>
      <c r="H173">
        <v>5</v>
      </c>
      <c r="I173" s="28">
        <v>8</v>
      </c>
      <c r="J173" s="28">
        <f t="shared" si="47"/>
        <v>80</v>
      </c>
      <c r="K173" s="28">
        <f t="shared" si="48"/>
        <v>9.6</v>
      </c>
      <c r="L173" s="28">
        <f t="shared" si="49"/>
        <v>12.456</v>
      </c>
      <c r="M173" s="86">
        <f t="shared" si="50"/>
        <v>0.29749999999999999</v>
      </c>
    </row>
    <row r="174" spans="1:13" ht="24.95" customHeight="1" x14ac:dyDescent="0.25">
      <c r="A174" s="27">
        <v>21</v>
      </c>
      <c r="B174" s="5" t="s">
        <v>182</v>
      </c>
      <c r="C174" s="6" t="s">
        <v>29</v>
      </c>
      <c r="D174" s="13">
        <f>'BİNA BİLGİLERİ'!B63+'BİNA BİLGİLERİ'!E63</f>
        <v>0</v>
      </c>
      <c r="E174" s="16">
        <f t="shared" si="45"/>
        <v>3030.96</v>
      </c>
      <c r="F174" s="28">
        <f t="shared" si="46"/>
        <v>0</v>
      </c>
      <c r="I174" s="28">
        <v>1460</v>
      </c>
      <c r="J174" s="28">
        <f t="shared" si="47"/>
        <v>0</v>
      </c>
      <c r="K174" s="28">
        <f t="shared" si="48"/>
        <v>1752</v>
      </c>
      <c r="L174" s="28">
        <f t="shared" si="49"/>
        <v>2273.2200000000003</v>
      </c>
      <c r="M174" s="86">
        <f t="shared" si="50"/>
        <v>0.29750000000000015</v>
      </c>
    </row>
    <row r="175" spans="1:13" ht="24.95" customHeight="1" x14ac:dyDescent="0.25">
      <c r="A175" s="27">
        <v>22</v>
      </c>
      <c r="B175" s="5" t="s">
        <v>67</v>
      </c>
      <c r="C175" s="6" t="s">
        <v>29</v>
      </c>
      <c r="D175" s="13">
        <f>D174</f>
        <v>0</v>
      </c>
      <c r="E175" s="16">
        <f t="shared" si="45"/>
        <v>1125.192</v>
      </c>
      <c r="F175" s="28">
        <f t="shared" si="46"/>
        <v>0</v>
      </c>
      <c r="I175" s="28">
        <v>542</v>
      </c>
      <c r="J175" s="28">
        <f t="shared" si="47"/>
        <v>0</v>
      </c>
      <c r="K175" s="28">
        <f t="shared" si="48"/>
        <v>650.4</v>
      </c>
      <c r="L175" s="28">
        <f t="shared" si="49"/>
        <v>843.89400000000001</v>
      </c>
      <c r="M175" s="86">
        <f t="shared" si="50"/>
        <v>0.29750000000000004</v>
      </c>
    </row>
    <row r="176" spans="1:13" ht="24.95" customHeight="1" x14ac:dyDescent="0.25">
      <c r="A176" s="27">
        <v>23</v>
      </c>
      <c r="B176" s="5" t="s">
        <v>183</v>
      </c>
      <c r="C176" s="6" t="s">
        <v>29</v>
      </c>
      <c r="D176" s="13">
        <f>D174</f>
        <v>0</v>
      </c>
      <c r="E176" s="16">
        <f t="shared" si="45"/>
        <v>415.2</v>
      </c>
      <c r="F176" s="28">
        <f t="shared" si="46"/>
        <v>0</v>
      </c>
      <c r="I176" s="28">
        <v>200</v>
      </c>
      <c r="J176" s="28">
        <f t="shared" si="47"/>
        <v>0</v>
      </c>
      <c r="K176" s="28">
        <f t="shared" si="48"/>
        <v>240</v>
      </c>
      <c r="L176" s="28">
        <f t="shared" si="49"/>
        <v>311.39999999999998</v>
      </c>
      <c r="M176" s="86">
        <f t="shared" si="50"/>
        <v>0.29749999999999993</v>
      </c>
    </row>
    <row r="177" spans="1:13" ht="24.95" customHeight="1" x14ac:dyDescent="0.25">
      <c r="A177" s="27">
        <v>24</v>
      </c>
      <c r="B177" s="5" t="s">
        <v>184</v>
      </c>
      <c r="C177" s="6" t="s">
        <v>29</v>
      </c>
      <c r="D177" s="13">
        <f>SUM('BİNA BİLGİLERİ'!B61:F64)*2</f>
        <v>12</v>
      </c>
      <c r="E177" s="16">
        <f t="shared" si="45"/>
        <v>166.07999999999998</v>
      </c>
      <c r="F177" s="28">
        <f t="shared" si="46"/>
        <v>1992.9599999999998</v>
      </c>
      <c r="I177" s="28">
        <v>80</v>
      </c>
      <c r="J177" s="28">
        <f t="shared" si="47"/>
        <v>960</v>
      </c>
      <c r="K177" s="28">
        <f t="shared" si="48"/>
        <v>96</v>
      </c>
      <c r="L177" s="28">
        <f t="shared" si="49"/>
        <v>124.55999999999997</v>
      </c>
      <c r="M177" s="86">
        <f t="shared" si="50"/>
        <v>0.29749999999999971</v>
      </c>
    </row>
    <row r="178" spans="1:13" ht="24.95" customHeight="1" x14ac:dyDescent="0.25">
      <c r="A178" s="27">
        <v>25</v>
      </c>
      <c r="B178" s="5" t="s">
        <v>185</v>
      </c>
      <c r="C178" s="6" t="s">
        <v>29</v>
      </c>
      <c r="D178" s="13">
        <f>D177</f>
        <v>12</v>
      </c>
      <c r="E178" s="16">
        <f t="shared" si="45"/>
        <v>12.975</v>
      </c>
      <c r="F178" s="28">
        <f t="shared" si="46"/>
        <v>155.69999999999999</v>
      </c>
      <c r="I178" s="28">
        <v>6.25</v>
      </c>
      <c r="J178" s="28">
        <f t="shared" si="47"/>
        <v>75</v>
      </c>
      <c r="K178" s="28">
        <f t="shared" si="48"/>
        <v>7.5</v>
      </c>
      <c r="L178" s="28">
        <f t="shared" si="49"/>
        <v>9.7312499999999993</v>
      </c>
      <c r="M178" s="86">
        <f t="shared" si="50"/>
        <v>0.29749999999999993</v>
      </c>
    </row>
    <row r="179" spans="1:13" ht="24.95" customHeight="1" x14ac:dyDescent="0.25">
      <c r="A179" s="27">
        <v>26</v>
      </c>
      <c r="B179" s="5" t="s">
        <v>186</v>
      </c>
      <c r="C179" s="6" t="s">
        <v>29</v>
      </c>
      <c r="D179" s="13">
        <f>'BİNA BİLGİLERİ'!B64+'BİNA BİLGİLERİ'!E64</f>
        <v>2</v>
      </c>
      <c r="E179" s="16">
        <f t="shared" si="45"/>
        <v>3736.8</v>
      </c>
      <c r="F179" s="28">
        <f t="shared" si="46"/>
        <v>7473.6</v>
      </c>
      <c r="I179" s="28">
        <v>1800</v>
      </c>
      <c r="J179" s="28">
        <f t="shared" si="47"/>
        <v>3600</v>
      </c>
      <c r="K179" s="28">
        <f t="shared" si="48"/>
        <v>2160</v>
      </c>
      <c r="L179" s="28">
        <f t="shared" si="49"/>
        <v>2802.6000000000004</v>
      </c>
      <c r="M179" s="86">
        <f t="shared" si="50"/>
        <v>0.29750000000000015</v>
      </c>
    </row>
    <row r="180" spans="1:13" ht="24.95" customHeight="1" x14ac:dyDescent="0.25">
      <c r="A180" s="27">
        <v>27</v>
      </c>
      <c r="B180" s="5" t="s">
        <v>68</v>
      </c>
      <c r="C180" s="6" t="s">
        <v>29</v>
      </c>
      <c r="D180" s="13">
        <f>D179</f>
        <v>2</v>
      </c>
      <c r="E180" s="16">
        <f t="shared" si="45"/>
        <v>2076</v>
      </c>
      <c r="F180" s="28">
        <f t="shared" si="46"/>
        <v>4152</v>
      </c>
      <c r="I180" s="28">
        <v>1000</v>
      </c>
      <c r="J180" s="28">
        <f t="shared" si="47"/>
        <v>2000</v>
      </c>
      <c r="K180" s="28">
        <f t="shared" si="48"/>
        <v>1200</v>
      </c>
      <c r="L180" s="28">
        <f t="shared" si="49"/>
        <v>1557</v>
      </c>
      <c r="M180" s="86">
        <f t="shared" si="50"/>
        <v>0.29749999999999999</v>
      </c>
    </row>
    <row r="181" spans="1:13" ht="24.95" customHeight="1" x14ac:dyDescent="0.25">
      <c r="A181" s="27">
        <v>28</v>
      </c>
      <c r="B181" s="5" t="s">
        <v>69</v>
      </c>
      <c r="C181" s="6" t="s">
        <v>29</v>
      </c>
      <c r="D181" s="13">
        <f>D179</f>
        <v>2</v>
      </c>
      <c r="E181" s="16">
        <f t="shared" si="45"/>
        <v>259.5</v>
      </c>
      <c r="F181" s="28">
        <f t="shared" si="46"/>
        <v>519</v>
      </c>
      <c r="I181" s="28">
        <v>125</v>
      </c>
      <c r="J181" s="28">
        <f t="shared" si="47"/>
        <v>250</v>
      </c>
      <c r="K181" s="28">
        <f t="shared" si="48"/>
        <v>150</v>
      </c>
      <c r="L181" s="28">
        <f t="shared" si="49"/>
        <v>194.625</v>
      </c>
      <c r="M181" s="86">
        <f t="shared" si="50"/>
        <v>0.29749999999999999</v>
      </c>
    </row>
    <row r="182" spans="1:13" ht="24.95" customHeight="1" x14ac:dyDescent="0.25">
      <c r="A182" s="27">
        <v>29</v>
      </c>
      <c r="B182" s="5" t="s">
        <v>70</v>
      </c>
      <c r="C182" s="6" t="s">
        <v>29</v>
      </c>
      <c r="D182" s="13">
        <f>D179</f>
        <v>2</v>
      </c>
      <c r="E182" s="16">
        <f t="shared" si="45"/>
        <v>166.07999999999998</v>
      </c>
      <c r="F182" s="28">
        <f t="shared" si="46"/>
        <v>332.15999999999997</v>
      </c>
      <c r="I182" s="28">
        <v>80</v>
      </c>
      <c r="J182" s="28">
        <f t="shared" si="47"/>
        <v>160</v>
      </c>
      <c r="K182" s="28">
        <f t="shared" si="48"/>
        <v>96</v>
      </c>
      <c r="L182" s="28">
        <f t="shared" si="49"/>
        <v>124.55999999999997</v>
      </c>
      <c r="M182" s="86">
        <f t="shared" si="50"/>
        <v>0.29749999999999971</v>
      </c>
    </row>
    <row r="183" spans="1:13" ht="24.95" customHeight="1" x14ac:dyDescent="0.25">
      <c r="A183" s="27">
        <v>30</v>
      </c>
      <c r="B183" s="5" t="s">
        <v>71</v>
      </c>
      <c r="C183" s="6" t="s">
        <v>29</v>
      </c>
      <c r="D183" s="13">
        <f>'BİNA BİLGİLERİ'!B61+'BİNA BİLGİLERİ'!E61</f>
        <v>2</v>
      </c>
      <c r="E183" s="16">
        <f t="shared" si="45"/>
        <v>6228</v>
      </c>
      <c r="F183" s="28">
        <f t="shared" si="46"/>
        <v>12456</v>
      </c>
      <c r="I183" s="28">
        <v>3000</v>
      </c>
      <c r="J183" s="28">
        <f t="shared" si="47"/>
        <v>6000</v>
      </c>
      <c r="K183" s="28">
        <f t="shared" si="48"/>
        <v>3600</v>
      </c>
      <c r="L183" s="28">
        <f t="shared" si="49"/>
        <v>4671</v>
      </c>
      <c r="M183" s="86">
        <f t="shared" si="50"/>
        <v>0.29749999999999999</v>
      </c>
    </row>
    <row r="184" spans="1:13" ht="24.95" customHeight="1" x14ac:dyDescent="0.25">
      <c r="A184" s="27">
        <v>31</v>
      </c>
      <c r="B184" s="5" t="s">
        <v>72</v>
      </c>
      <c r="C184" s="6" t="s">
        <v>29</v>
      </c>
      <c r="D184" s="13">
        <f>D183</f>
        <v>2</v>
      </c>
      <c r="E184" s="16">
        <f t="shared" si="45"/>
        <v>332.15999999999997</v>
      </c>
      <c r="F184" s="28">
        <f t="shared" si="46"/>
        <v>664.31999999999994</v>
      </c>
      <c r="I184" s="28">
        <v>160</v>
      </c>
      <c r="J184" s="28">
        <f t="shared" si="47"/>
        <v>320</v>
      </c>
      <c r="K184" s="28">
        <f t="shared" si="48"/>
        <v>192</v>
      </c>
      <c r="L184" s="28">
        <f t="shared" si="49"/>
        <v>249.11999999999995</v>
      </c>
      <c r="M184" s="86">
        <f t="shared" si="50"/>
        <v>0.29749999999999971</v>
      </c>
    </row>
    <row r="185" spans="1:13" ht="24.95" customHeight="1" x14ac:dyDescent="0.25">
      <c r="A185" s="27">
        <v>32</v>
      </c>
      <c r="B185" s="5" t="s">
        <v>73</v>
      </c>
      <c r="C185" s="6" t="s">
        <v>29</v>
      </c>
      <c r="D185" s="13">
        <f>D183</f>
        <v>2</v>
      </c>
      <c r="E185" s="16">
        <f t="shared" si="45"/>
        <v>280.26</v>
      </c>
      <c r="F185" s="28">
        <f t="shared" si="46"/>
        <v>560.52</v>
      </c>
      <c r="I185" s="28">
        <v>135</v>
      </c>
      <c r="J185" s="28">
        <f t="shared" si="47"/>
        <v>270</v>
      </c>
      <c r="K185" s="28">
        <f t="shared" si="48"/>
        <v>162</v>
      </c>
      <c r="L185" s="28">
        <f t="shared" si="49"/>
        <v>210.19499999999999</v>
      </c>
      <c r="M185" s="86">
        <f t="shared" si="50"/>
        <v>0.29749999999999993</v>
      </c>
    </row>
    <row r="186" spans="1:13" ht="24.95" customHeight="1" x14ac:dyDescent="0.25">
      <c r="A186" s="27">
        <v>33</v>
      </c>
      <c r="B186" s="5" t="s">
        <v>74</v>
      </c>
      <c r="C186" s="6" t="s">
        <v>29</v>
      </c>
      <c r="D186" s="13">
        <f>D183*2</f>
        <v>4</v>
      </c>
      <c r="E186" s="16">
        <f t="shared" si="45"/>
        <v>20.759999999999998</v>
      </c>
      <c r="F186" s="28">
        <f t="shared" si="46"/>
        <v>83.039999999999992</v>
      </c>
      <c r="I186" s="28">
        <v>10</v>
      </c>
      <c r="J186" s="28">
        <f t="shared" si="47"/>
        <v>40</v>
      </c>
      <c r="K186" s="28">
        <f t="shared" si="48"/>
        <v>12</v>
      </c>
      <c r="L186" s="28">
        <f t="shared" si="49"/>
        <v>15.569999999999997</v>
      </c>
      <c r="M186" s="86">
        <f t="shared" si="50"/>
        <v>0.29749999999999971</v>
      </c>
    </row>
    <row r="187" spans="1:13" ht="24.95" customHeight="1" x14ac:dyDescent="0.25">
      <c r="A187" s="27">
        <v>34</v>
      </c>
      <c r="B187" s="5" t="s">
        <v>75</v>
      </c>
      <c r="C187" s="6" t="s">
        <v>29</v>
      </c>
      <c r="D187" s="13">
        <f>D183*2</f>
        <v>4</v>
      </c>
      <c r="E187" s="16">
        <f t="shared" si="45"/>
        <v>129.75</v>
      </c>
      <c r="F187" s="28">
        <f t="shared" si="46"/>
        <v>519</v>
      </c>
      <c r="I187" s="28">
        <v>62.5</v>
      </c>
      <c r="J187" s="28">
        <f t="shared" si="47"/>
        <v>250</v>
      </c>
      <c r="K187" s="28">
        <f t="shared" si="48"/>
        <v>75</v>
      </c>
      <c r="L187" s="28">
        <f t="shared" si="49"/>
        <v>97.3125</v>
      </c>
      <c r="M187" s="86">
        <f t="shared" si="50"/>
        <v>0.29749999999999999</v>
      </c>
    </row>
    <row r="188" spans="1:13" ht="24.95" customHeight="1" x14ac:dyDescent="0.25">
      <c r="A188" s="27">
        <v>35</v>
      </c>
      <c r="B188" s="5" t="s">
        <v>187</v>
      </c>
      <c r="C188" s="6" t="s">
        <v>29</v>
      </c>
      <c r="D188" s="13">
        <f>'BİNA BİLGİLERİ'!B62+'BİNA BİLGİLERİ'!E62</f>
        <v>2</v>
      </c>
      <c r="E188" s="16">
        <f t="shared" si="45"/>
        <v>4671</v>
      </c>
      <c r="F188" s="28">
        <f t="shared" si="46"/>
        <v>9342</v>
      </c>
      <c r="I188" s="28">
        <v>2250</v>
      </c>
      <c r="J188" s="28">
        <f t="shared" si="47"/>
        <v>4500</v>
      </c>
      <c r="K188" s="28">
        <f t="shared" si="48"/>
        <v>2700</v>
      </c>
      <c r="L188" s="28">
        <f t="shared" si="49"/>
        <v>3503.25</v>
      </c>
      <c r="M188" s="86">
        <f t="shared" si="50"/>
        <v>0.29749999999999999</v>
      </c>
    </row>
    <row r="189" spans="1:13" ht="24.95" customHeight="1" x14ac:dyDescent="0.25">
      <c r="A189" s="27">
        <v>36</v>
      </c>
      <c r="B189" s="5" t="s">
        <v>76</v>
      </c>
      <c r="C189" s="6" t="s">
        <v>29</v>
      </c>
      <c r="D189" s="13">
        <f>D188</f>
        <v>2</v>
      </c>
      <c r="E189" s="16">
        <f t="shared" si="45"/>
        <v>2076</v>
      </c>
      <c r="F189" s="28">
        <f t="shared" si="46"/>
        <v>4152</v>
      </c>
      <c r="I189" s="28">
        <v>1000</v>
      </c>
      <c r="J189" s="28">
        <f t="shared" si="47"/>
        <v>2000</v>
      </c>
      <c r="K189" s="28">
        <f t="shared" si="48"/>
        <v>1200</v>
      </c>
      <c r="L189" s="28">
        <f t="shared" si="49"/>
        <v>1557</v>
      </c>
      <c r="M189" s="86">
        <f t="shared" si="50"/>
        <v>0.29749999999999999</v>
      </c>
    </row>
    <row r="190" spans="1:13" ht="24.95" customHeight="1" x14ac:dyDescent="0.25">
      <c r="A190" s="27">
        <v>37</v>
      </c>
      <c r="B190" s="5" t="s">
        <v>77</v>
      </c>
      <c r="C190" s="6" t="s">
        <v>29</v>
      </c>
      <c r="D190" s="13">
        <f>D188</f>
        <v>2</v>
      </c>
      <c r="E190" s="16">
        <f t="shared" si="45"/>
        <v>62.28</v>
      </c>
      <c r="F190" s="28">
        <f t="shared" si="46"/>
        <v>124.56</v>
      </c>
      <c r="I190" s="28">
        <v>30</v>
      </c>
      <c r="J190" s="28">
        <f t="shared" si="47"/>
        <v>60</v>
      </c>
      <c r="K190" s="28">
        <f t="shared" si="48"/>
        <v>36</v>
      </c>
      <c r="L190" s="28">
        <f t="shared" si="49"/>
        <v>46.71</v>
      </c>
      <c r="M190" s="86">
        <f t="shared" si="50"/>
        <v>0.29750000000000004</v>
      </c>
    </row>
    <row r="191" spans="1:13" ht="24.95" customHeight="1" x14ac:dyDescent="0.25">
      <c r="A191" s="27">
        <v>38</v>
      </c>
      <c r="B191" s="5" t="s">
        <v>78</v>
      </c>
      <c r="C191" s="6" t="s">
        <v>29</v>
      </c>
      <c r="D191" s="13">
        <f>D188*2</f>
        <v>4</v>
      </c>
      <c r="E191" s="16">
        <f t="shared" si="45"/>
        <v>43.595999999999997</v>
      </c>
      <c r="F191" s="28">
        <f t="shared" si="46"/>
        <v>174.38399999999999</v>
      </c>
      <c r="I191" s="28">
        <v>21</v>
      </c>
      <c r="J191" s="28">
        <f t="shared" si="47"/>
        <v>84</v>
      </c>
      <c r="K191" s="28">
        <f t="shared" si="48"/>
        <v>25.2</v>
      </c>
      <c r="L191" s="28">
        <f t="shared" si="49"/>
        <v>32.696999999999996</v>
      </c>
      <c r="M191" s="86">
        <f t="shared" si="50"/>
        <v>0.29749999999999988</v>
      </c>
    </row>
    <row r="192" spans="1:13" ht="24.95" customHeight="1" x14ac:dyDescent="0.25">
      <c r="A192" s="27">
        <v>39</v>
      </c>
      <c r="B192" s="5" t="s">
        <v>79</v>
      </c>
      <c r="C192" s="6" t="s">
        <v>29</v>
      </c>
      <c r="D192" s="13">
        <f>SUM('BİNA BİLGİLERİ'!B61:F64)</f>
        <v>6</v>
      </c>
      <c r="E192" s="16">
        <f t="shared" si="45"/>
        <v>17.645999999999997</v>
      </c>
      <c r="F192" s="28">
        <f t="shared" si="46"/>
        <v>105.87599999999998</v>
      </c>
      <c r="I192" s="28">
        <v>8.5</v>
      </c>
      <c r="J192" s="28">
        <f t="shared" si="47"/>
        <v>51</v>
      </c>
      <c r="K192" s="28">
        <f t="shared" si="48"/>
        <v>10.199999999999999</v>
      </c>
      <c r="L192" s="28">
        <f t="shared" si="49"/>
        <v>13.234499999999997</v>
      </c>
      <c r="M192" s="86">
        <f t="shared" si="50"/>
        <v>0.29749999999999982</v>
      </c>
    </row>
    <row r="193" spans="1:13" ht="24.95" customHeight="1" x14ac:dyDescent="0.25">
      <c r="A193" s="275"/>
      <c r="B193" s="276"/>
      <c r="C193" s="276"/>
      <c r="D193" s="66" t="s">
        <v>5</v>
      </c>
      <c r="E193" s="67"/>
      <c r="F193" s="68">
        <f>SUBTOTAL(9,F154:F192)</f>
        <v>52706.235359999984</v>
      </c>
      <c r="I193" s="68">
        <f>SUBTOTAL(9,I154:I192)</f>
        <v>12830.27</v>
      </c>
      <c r="J193" s="68">
        <f>SUBTOTAL(9,J154:J192)</f>
        <v>25388.36</v>
      </c>
      <c r="K193" s="68">
        <f>SUBTOTAL(9,K154:K192)</f>
        <v>15396.324000000001</v>
      </c>
      <c r="L193" s="68">
        <f>SUBTOTAL(9,L154:L192)</f>
        <v>19976.730389999997</v>
      </c>
      <c r="M193" s="88"/>
    </row>
    <row r="194" spans="1:13" ht="24.95" customHeight="1" x14ac:dyDescent="0.25">
      <c r="A194" s="254" t="s">
        <v>138</v>
      </c>
      <c r="B194" s="255"/>
      <c r="C194" s="73"/>
      <c r="D194" s="74">
        <v>1009</v>
      </c>
      <c r="E194" s="77"/>
      <c r="F194" s="76"/>
      <c r="I194" s="265"/>
      <c r="J194" s="265"/>
      <c r="K194" s="265"/>
      <c r="L194" s="265"/>
      <c r="M194" s="266"/>
    </row>
    <row r="195" spans="1:13" ht="24.95" customHeight="1" x14ac:dyDescent="0.25">
      <c r="A195" s="27">
        <v>1</v>
      </c>
      <c r="B195" s="5" t="s">
        <v>271</v>
      </c>
      <c r="C195" s="35" t="s">
        <v>402</v>
      </c>
      <c r="D195" s="9">
        <f>('BİNA BİLGİLERİ'!B17/5)</f>
        <v>4.1120000000000001</v>
      </c>
      <c r="E195" s="16">
        <f>C195*127/1000</f>
        <v>635</v>
      </c>
      <c r="F195" s="28">
        <f t="shared" ref="F195:F207" si="51">E195*D195</f>
        <v>2611.12</v>
      </c>
      <c r="I195" s="85">
        <f>C195*61/1000</f>
        <v>305</v>
      </c>
      <c r="J195" s="85">
        <f>I195*D195</f>
        <v>1254.1600000000001</v>
      </c>
      <c r="K195" s="28">
        <f>I195*1.2</f>
        <v>366</v>
      </c>
      <c r="L195" s="28">
        <f t="shared" ref="L195:L207" si="52">E195-E195*$E$223/100</f>
        <v>476.25</v>
      </c>
      <c r="M195" s="86">
        <f t="shared" ref="M195:M207" si="53">(L195-K195)/K195</f>
        <v>0.30122950819672129</v>
      </c>
    </row>
    <row r="196" spans="1:13" ht="24.95" customHeight="1" x14ac:dyDescent="0.25">
      <c r="A196" s="27">
        <v>2</v>
      </c>
      <c r="B196" s="5" t="s">
        <v>271</v>
      </c>
      <c r="C196" s="35"/>
      <c r="D196" s="111"/>
      <c r="E196" s="16">
        <f>C196*127/1000</f>
        <v>0</v>
      </c>
      <c r="F196" s="28">
        <f t="shared" si="51"/>
        <v>0</v>
      </c>
      <c r="I196" s="85">
        <f>C196*61/1000</f>
        <v>0</v>
      </c>
      <c r="J196" s="85">
        <f>I196*D196</f>
        <v>0</v>
      </c>
      <c r="K196" s="28">
        <f t="shared" ref="K196:K207" si="54">I196*1.2</f>
        <v>0</v>
      </c>
      <c r="L196" s="28">
        <f t="shared" si="52"/>
        <v>0</v>
      </c>
      <c r="M196" s="86" t="e">
        <f t="shared" si="53"/>
        <v>#DIV/0!</v>
      </c>
    </row>
    <row r="197" spans="1:13" ht="24.95" customHeight="1" x14ac:dyDescent="0.25">
      <c r="A197" s="27">
        <v>3</v>
      </c>
      <c r="B197" s="5" t="s">
        <v>271</v>
      </c>
      <c r="C197" s="35"/>
      <c r="D197" s="111"/>
      <c r="E197" s="16">
        <f>C197*127/1000</f>
        <v>0</v>
      </c>
      <c r="F197" s="28">
        <f t="shared" si="51"/>
        <v>0</v>
      </c>
      <c r="I197" s="85">
        <f>C197*61/1000</f>
        <v>0</v>
      </c>
      <c r="J197" s="85">
        <f>I197*D197</f>
        <v>0</v>
      </c>
      <c r="K197" s="28">
        <f t="shared" si="54"/>
        <v>0</v>
      </c>
      <c r="L197" s="28">
        <f t="shared" si="52"/>
        <v>0</v>
      </c>
      <c r="M197" s="86" t="e">
        <f t="shared" si="53"/>
        <v>#DIV/0!</v>
      </c>
    </row>
    <row r="198" spans="1:13" ht="24.95" customHeight="1" x14ac:dyDescent="0.25">
      <c r="A198" s="27">
        <v>4</v>
      </c>
      <c r="B198" s="5" t="s">
        <v>271</v>
      </c>
      <c r="C198" s="35"/>
      <c r="D198" s="111"/>
      <c r="E198" s="16">
        <f>C198*127/1000</f>
        <v>0</v>
      </c>
      <c r="F198" s="28">
        <f t="shared" si="51"/>
        <v>0</v>
      </c>
      <c r="I198" s="85">
        <f>C198*61/1000</f>
        <v>0</v>
      </c>
      <c r="J198" s="85">
        <f>I198*D198</f>
        <v>0</v>
      </c>
      <c r="K198" s="28">
        <f t="shared" si="54"/>
        <v>0</v>
      </c>
      <c r="L198" s="28">
        <f t="shared" si="52"/>
        <v>0</v>
      </c>
      <c r="M198" s="86" t="e">
        <f t="shared" si="53"/>
        <v>#DIV/0!</v>
      </c>
    </row>
    <row r="199" spans="1:13" ht="24.95" customHeight="1" x14ac:dyDescent="0.25">
      <c r="A199" s="27">
        <v>5</v>
      </c>
      <c r="B199" s="5" t="s">
        <v>188</v>
      </c>
      <c r="C199" s="6" t="s">
        <v>29</v>
      </c>
      <c r="D199" s="9">
        <f>'BİNA BİLGİLERİ'!B4</f>
        <v>6</v>
      </c>
      <c r="E199" s="16">
        <f t="shared" ref="E199:E207" si="55">K199*1.73</f>
        <v>14.532</v>
      </c>
      <c r="F199" s="28">
        <f t="shared" si="51"/>
        <v>87.192000000000007</v>
      </c>
      <c r="I199" s="85">
        <v>7</v>
      </c>
      <c r="J199" s="85">
        <f>I199*D199</f>
        <v>42</v>
      </c>
      <c r="K199" s="28">
        <f t="shared" si="54"/>
        <v>8.4</v>
      </c>
      <c r="L199" s="28">
        <f t="shared" si="52"/>
        <v>10.899000000000001</v>
      </c>
      <c r="M199" s="86">
        <f t="shared" si="53"/>
        <v>0.29750000000000004</v>
      </c>
    </row>
    <row r="200" spans="1:13" ht="24.95" customHeight="1" x14ac:dyDescent="0.25">
      <c r="A200" s="27">
        <v>6</v>
      </c>
      <c r="B200" s="5" t="s">
        <v>201</v>
      </c>
      <c r="C200" s="6" t="s">
        <v>29</v>
      </c>
      <c r="D200" s="9">
        <f>D199</f>
        <v>6</v>
      </c>
      <c r="E200" s="16">
        <f t="shared" si="55"/>
        <v>16.608000000000001</v>
      </c>
      <c r="F200" s="28">
        <f t="shared" si="51"/>
        <v>99.647999999999996</v>
      </c>
      <c r="I200" s="85">
        <v>8</v>
      </c>
      <c r="J200" s="85">
        <f t="shared" ref="J200:J207" si="56">I200*D200</f>
        <v>48</v>
      </c>
      <c r="K200" s="28">
        <f t="shared" si="54"/>
        <v>9.6</v>
      </c>
      <c r="L200" s="28">
        <f t="shared" si="52"/>
        <v>12.456</v>
      </c>
      <c r="M200" s="86">
        <f t="shared" si="53"/>
        <v>0.29749999999999999</v>
      </c>
    </row>
    <row r="201" spans="1:13" ht="24.95" customHeight="1" x14ac:dyDescent="0.25">
      <c r="A201" s="27">
        <v>7</v>
      </c>
      <c r="B201" s="5" t="s">
        <v>155</v>
      </c>
      <c r="C201" s="6" t="s">
        <v>23</v>
      </c>
      <c r="D201" s="9">
        <f>D199*'BİNA BİLGİLERİ'!B7</f>
        <v>6</v>
      </c>
      <c r="E201" s="16">
        <f t="shared" si="55"/>
        <v>386.13599999999997</v>
      </c>
      <c r="F201" s="28">
        <f t="shared" si="51"/>
        <v>2316.8159999999998</v>
      </c>
      <c r="I201" s="85">
        <v>186</v>
      </c>
      <c r="J201" s="85">
        <f t="shared" si="56"/>
        <v>1116</v>
      </c>
      <c r="K201" s="28">
        <f t="shared" si="54"/>
        <v>223.2</v>
      </c>
      <c r="L201" s="28">
        <f t="shared" si="52"/>
        <v>289.60199999999998</v>
      </c>
      <c r="M201" s="86">
        <f t="shared" si="53"/>
        <v>0.29749999999999993</v>
      </c>
    </row>
    <row r="202" spans="1:13" ht="24.95" customHeight="1" x14ac:dyDescent="0.25">
      <c r="A202" s="27">
        <v>8</v>
      </c>
      <c r="B202" s="5" t="s">
        <v>155</v>
      </c>
      <c r="C202" s="6" t="s">
        <v>80</v>
      </c>
      <c r="D202" s="111"/>
      <c r="E202" s="16">
        <f t="shared" si="55"/>
        <v>174.38399999999999</v>
      </c>
      <c r="F202" s="28">
        <f t="shared" si="51"/>
        <v>0</v>
      </c>
      <c r="I202" s="85">
        <v>84</v>
      </c>
      <c r="J202" s="85">
        <f t="shared" si="56"/>
        <v>0</v>
      </c>
      <c r="K202" s="28">
        <f t="shared" si="54"/>
        <v>100.8</v>
      </c>
      <c r="L202" s="28">
        <f t="shared" si="52"/>
        <v>130.78799999999998</v>
      </c>
      <c r="M202" s="86">
        <f t="shared" si="53"/>
        <v>0.29749999999999988</v>
      </c>
    </row>
    <row r="203" spans="1:13" ht="24.95" customHeight="1" x14ac:dyDescent="0.25">
      <c r="A203" s="27">
        <v>9</v>
      </c>
      <c r="B203" s="5" t="s">
        <v>155</v>
      </c>
      <c r="C203" s="6" t="s">
        <v>81</v>
      </c>
      <c r="D203" s="9">
        <f>D199</f>
        <v>6</v>
      </c>
      <c r="E203" s="16">
        <f t="shared" si="55"/>
        <v>80.963999999999999</v>
      </c>
      <c r="F203" s="28">
        <f t="shared" si="51"/>
        <v>485.78399999999999</v>
      </c>
      <c r="I203" s="85">
        <v>39</v>
      </c>
      <c r="J203" s="85">
        <f t="shared" si="56"/>
        <v>234</v>
      </c>
      <c r="K203" s="28">
        <f t="shared" si="54"/>
        <v>46.8</v>
      </c>
      <c r="L203" s="28">
        <f t="shared" si="52"/>
        <v>60.722999999999999</v>
      </c>
      <c r="M203" s="86">
        <f t="shared" si="53"/>
        <v>0.29750000000000004</v>
      </c>
    </row>
    <row r="204" spans="1:13" ht="24.95" customHeight="1" x14ac:dyDescent="0.25">
      <c r="A204" s="27">
        <v>10</v>
      </c>
      <c r="B204" s="5" t="s">
        <v>156</v>
      </c>
      <c r="C204" s="6" t="s">
        <v>29</v>
      </c>
      <c r="D204" s="9">
        <f>D199*2</f>
        <v>12</v>
      </c>
      <c r="E204" s="16">
        <f t="shared" si="55"/>
        <v>80.963999999999999</v>
      </c>
      <c r="F204" s="28">
        <f t="shared" si="51"/>
        <v>971.56799999999998</v>
      </c>
      <c r="I204" s="85">
        <v>39</v>
      </c>
      <c r="J204" s="85">
        <f t="shared" si="56"/>
        <v>468</v>
      </c>
      <c r="K204" s="28">
        <f t="shared" si="54"/>
        <v>46.8</v>
      </c>
      <c r="L204" s="28">
        <f t="shared" si="52"/>
        <v>60.722999999999999</v>
      </c>
      <c r="M204" s="86">
        <f t="shared" si="53"/>
        <v>0.29750000000000004</v>
      </c>
    </row>
    <row r="205" spans="1:13" ht="24.95" customHeight="1" x14ac:dyDescent="0.25">
      <c r="A205" s="27">
        <v>11</v>
      </c>
      <c r="B205" s="5" t="s">
        <v>157</v>
      </c>
      <c r="C205" s="6" t="s">
        <v>29</v>
      </c>
      <c r="D205" s="9">
        <f>D199</f>
        <v>6</v>
      </c>
      <c r="E205" s="16">
        <f t="shared" si="55"/>
        <v>39.444000000000003</v>
      </c>
      <c r="F205" s="28">
        <f t="shared" si="51"/>
        <v>236.66400000000002</v>
      </c>
      <c r="I205" s="85">
        <v>19</v>
      </c>
      <c r="J205" s="85">
        <f t="shared" si="56"/>
        <v>114</v>
      </c>
      <c r="K205" s="28">
        <f t="shared" si="54"/>
        <v>22.8</v>
      </c>
      <c r="L205" s="28">
        <f t="shared" si="52"/>
        <v>29.583000000000002</v>
      </c>
      <c r="M205" s="86">
        <f t="shared" si="53"/>
        <v>0.29750000000000004</v>
      </c>
    </row>
    <row r="206" spans="1:13" ht="24.95" customHeight="1" x14ac:dyDescent="0.25">
      <c r="A206" s="27">
        <v>12</v>
      </c>
      <c r="B206" s="5" t="s">
        <v>158</v>
      </c>
      <c r="C206" s="6" t="s">
        <v>29</v>
      </c>
      <c r="D206" s="9">
        <f>D199*3</f>
        <v>18</v>
      </c>
      <c r="E206" s="16">
        <f t="shared" si="55"/>
        <v>13.763879999999999</v>
      </c>
      <c r="F206" s="28">
        <f t="shared" si="51"/>
        <v>247.74983999999998</v>
      </c>
      <c r="I206" s="85">
        <v>6.63</v>
      </c>
      <c r="J206" s="85">
        <f t="shared" si="56"/>
        <v>119.34</v>
      </c>
      <c r="K206" s="28">
        <f t="shared" si="54"/>
        <v>7.9559999999999995</v>
      </c>
      <c r="L206" s="28">
        <f t="shared" si="52"/>
        <v>10.322909999999998</v>
      </c>
      <c r="M206" s="86">
        <f t="shared" si="53"/>
        <v>0.29749999999999988</v>
      </c>
    </row>
    <row r="207" spans="1:13" ht="24.95" customHeight="1" x14ac:dyDescent="0.25">
      <c r="A207" s="27">
        <v>13</v>
      </c>
      <c r="B207" s="5" t="s">
        <v>189</v>
      </c>
      <c r="C207" s="6" t="s">
        <v>29</v>
      </c>
      <c r="D207" s="9">
        <f>'BİNA BİLGİLERİ'!B17/0.5</f>
        <v>41.12</v>
      </c>
      <c r="E207" s="16">
        <f t="shared" si="55"/>
        <v>10.379999999999999</v>
      </c>
      <c r="F207" s="28">
        <f t="shared" si="51"/>
        <v>426.82559999999995</v>
      </c>
      <c r="I207" s="85">
        <v>5</v>
      </c>
      <c r="J207" s="85">
        <f t="shared" si="56"/>
        <v>205.6</v>
      </c>
      <c r="K207" s="28">
        <f t="shared" si="54"/>
        <v>6</v>
      </c>
      <c r="L207" s="28">
        <f t="shared" si="52"/>
        <v>7.7849999999999984</v>
      </c>
      <c r="M207" s="86">
        <f t="shared" si="53"/>
        <v>0.29749999999999971</v>
      </c>
    </row>
    <row r="208" spans="1:13" ht="24.95" customHeight="1" x14ac:dyDescent="0.25">
      <c r="A208" s="259"/>
      <c r="B208" s="260"/>
      <c r="C208" s="261"/>
      <c r="D208" s="66" t="s">
        <v>5</v>
      </c>
      <c r="E208" s="69"/>
      <c r="F208" s="68">
        <f>SUBTOTAL(9,F195:F207)</f>
        <v>7483.36744</v>
      </c>
      <c r="I208" s="68">
        <f>SUBTOTAL(9,I195:I207)</f>
        <v>698.63</v>
      </c>
      <c r="J208" s="68">
        <f>SUBTOTAL(9,J195:J207)</f>
        <v>3601.1</v>
      </c>
      <c r="K208" s="68">
        <f>SUBTOTAL(9,K195:K207)</f>
        <v>838.35599999999988</v>
      </c>
      <c r="L208" s="68">
        <f>SUBTOTAL(9,L195:L207)</f>
        <v>1089.1319100000003</v>
      </c>
      <c r="M208" s="88"/>
    </row>
    <row r="209" spans="1:13" ht="24.95" customHeight="1" x14ac:dyDescent="0.25">
      <c r="A209" s="254" t="s">
        <v>139</v>
      </c>
      <c r="B209" s="255"/>
      <c r="C209" s="73"/>
      <c r="D209" s="74">
        <v>1010</v>
      </c>
      <c r="E209" s="77"/>
      <c r="F209" s="76"/>
      <c r="I209" s="76"/>
      <c r="J209" s="76"/>
      <c r="K209" s="76"/>
      <c r="L209" s="76"/>
      <c r="M209" s="89"/>
    </row>
    <row r="210" spans="1:13" ht="24.95" customHeight="1" x14ac:dyDescent="0.25">
      <c r="A210" s="27">
        <v>1</v>
      </c>
      <c r="B210" s="5" t="s">
        <v>99</v>
      </c>
      <c r="C210" s="6" t="s">
        <v>82</v>
      </c>
      <c r="D210" s="111"/>
      <c r="E210" s="16">
        <f t="shared" ref="E210:E220" si="57">K210*1.73</f>
        <v>6487.5</v>
      </c>
      <c r="F210" s="28">
        <f t="shared" ref="F210:F220" si="58">E210*D210</f>
        <v>0</v>
      </c>
      <c r="H210" s="115"/>
      <c r="I210" s="84">
        <v>3125</v>
      </c>
      <c r="J210" s="85">
        <f>I210*D210</f>
        <v>0</v>
      </c>
      <c r="K210" s="28">
        <f t="shared" ref="K210:K220" si="59">I210*1.2</f>
        <v>3750</v>
      </c>
      <c r="L210" s="28">
        <f t="shared" ref="L210:L220" si="60">E210-E210*$E$223/100</f>
        <v>4865.625</v>
      </c>
      <c r="M210" s="86">
        <f t="shared" ref="M210:M220" si="61">(L210-K210)/K210</f>
        <v>0.29749999999999999</v>
      </c>
    </row>
    <row r="211" spans="1:13" ht="24.95" customHeight="1" x14ac:dyDescent="0.25">
      <c r="A211" s="27">
        <v>2</v>
      </c>
      <c r="B211" s="5" t="s">
        <v>99</v>
      </c>
      <c r="C211" s="6" t="s">
        <v>83</v>
      </c>
      <c r="D211" s="9">
        <f>ROUNDUP(('BİNA BİLGİLERİ'!B32*'BİNA BİLGİLERİ'!B9*0.25)/10,0)</f>
        <v>3</v>
      </c>
      <c r="E211" s="16">
        <f t="shared" si="57"/>
        <v>3633</v>
      </c>
      <c r="F211" s="28">
        <f t="shared" si="58"/>
        <v>10899</v>
      </c>
      <c r="H211" s="115"/>
      <c r="I211" s="84">
        <v>1750</v>
      </c>
      <c r="J211" s="85">
        <f t="shared" ref="J211:J220" si="62">I211*D211</f>
        <v>5250</v>
      </c>
      <c r="K211" s="28">
        <f t="shared" si="59"/>
        <v>2100</v>
      </c>
      <c r="L211" s="28">
        <f t="shared" si="60"/>
        <v>2724.75</v>
      </c>
      <c r="M211" s="86">
        <f t="shared" si="61"/>
        <v>0.29749999999999999</v>
      </c>
    </row>
    <row r="212" spans="1:13" ht="24.95" customHeight="1" x14ac:dyDescent="0.25">
      <c r="A212" s="27">
        <v>3</v>
      </c>
      <c r="B212" s="5" t="s">
        <v>140</v>
      </c>
      <c r="C212" s="6" t="s">
        <v>96</v>
      </c>
      <c r="D212" s="9">
        <v>1</v>
      </c>
      <c r="E212" s="16">
        <f t="shared" si="57"/>
        <v>1349.4</v>
      </c>
      <c r="F212" s="28">
        <f t="shared" si="58"/>
        <v>1349.4</v>
      </c>
      <c r="I212" s="84">
        <v>650</v>
      </c>
      <c r="J212" s="85">
        <f t="shared" si="62"/>
        <v>650</v>
      </c>
      <c r="K212" s="28">
        <f t="shared" si="59"/>
        <v>780</v>
      </c>
      <c r="L212" s="28">
        <f t="shared" si="60"/>
        <v>1012.0500000000001</v>
      </c>
      <c r="M212" s="86">
        <f t="shared" si="61"/>
        <v>0.2975000000000001</v>
      </c>
    </row>
    <row r="213" spans="1:13" ht="24.95" customHeight="1" x14ac:dyDescent="0.25">
      <c r="A213" s="27">
        <v>4</v>
      </c>
      <c r="B213" s="5" t="s">
        <v>199</v>
      </c>
      <c r="C213" s="6" t="s">
        <v>82</v>
      </c>
      <c r="D213" s="111"/>
      <c r="E213" s="16">
        <f t="shared" si="57"/>
        <v>4152</v>
      </c>
      <c r="F213" s="28">
        <f t="shared" si="58"/>
        <v>0</v>
      </c>
      <c r="I213" s="84">
        <v>2000</v>
      </c>
      <c r="J213" s="85">
        <f t="shared" si="62"/>
        <v>0</v>
      </c>
      <c r="K213" s="28">
        <f t="shared" si="59"/>
        <v>2400</v>
      </c>
      <c r="L213" s="28">
        <f t="shared" si="60"/>
        <v>3114</v>
      </c>
      <c r="M213" s="86">
        <f t="shared" si="61"/>
        <v>0.29749999999999999</v>
      </c>
    </row>
    <row r="214" spans="1:13" ht="24.95" customHeight="1" x14ac:dyDescent="0.25">
      <c r="A214" s="27">
        <v>5</v>
      </c>
      <c r="B214" s="5" t="s">
        <v>199</v>
      </c>
      <c r="C214" s="6" t="s">
        <v>83</v>
      </c>
      <c r="D214" s="9">
        <f>ROUNDUP(((('BİNA BİLGİLERİ'!B9*'BİNA BİLGİLERİ'!B32)+(('BİNA BİLGİLERİ'!B33+'BİNA BİLGİLERİ'!B33)*'BİNA BİLGİLERİ'!B9))*0.25)/10,0)</f>
        <v>8</v>
      </c>
      <c r="E214" s="16">
        <f t="shared" si="57"/>
        <v>2767.308</v>
      </c>
      <c r="F214" s="28">
        <f t="shared" si="58"/>
        <v>22138.464</v>
      </c>
      <c r="I214" s="84">
        <v>1333</v>
      </c>
      <c r="J214" s="85">
        <f t="shared" si="62"/>
        <v>10664</v>
      </c>
      <c r="K214" s="28">
        <f t="shared" si="59"/>
        <v>1599.6</v>
      </c>
      <c r="L214" s="28">
        <f t="shared" si="60"/>
        <v>2075.4809999999998</v>
      </c>
      <c r="M214" s="86">
        <f t="shared" si="61"/>
        <v>0.29749999999999993</v>
      </c>
    </row>
    <row r="215" spans="1:13" ht="24.95" customHeight="1" x14ac:dyDescent="0.25">
      <c r="A215" s="27">
        <v>6</v>
      </c>
      <c r="B215" s="5" t="s">
        <v>190</v>
      </c>
      <c r="C215" s="6" t="s">
        <v>84</v>
      </c>
      <c r="D215" s="111"/>
      <c r="E215" s="16">
        <f t="shared" si="57"/>
        <v>2076</v>
      </c>
      <c r="F215" s="28">
        <f t="shared" si="58"/>
        <v>0</v>
      </c>
      <c r="I215" s="84">
        <v>1000</v>
      </c>
      <c r="J215" s="85">
        <f t="shared" si="62"/>
        <v>0</v>
      </c>
      <c r="K215" s="28">
        <f t="shared" si="59"/>
        <v>1200</v>
      </c>
      <c r="L215" s="28">
        <f t="shared" si="60"/>
        <v>1557</v>
      </c>
      <c r="M215" s="86">
        <f t="shared" si="61"/>
        <v>0.29749999999999999</v>
      </c>
    </row>
    <row r="216" spans="1:13" ht="24.95" customHeight="1" x14ac:dyDescent="0.25">
      <c r="A216" s="27">
        <v>7</v>
      </c>
      <c r="B216" s="5" t="s">
        <v>190</v>
      </c>
      <c r="C216" s="6" t="s">
        <v>85</v>
      </c>
      <c r="D216" s="9">
        <f>ROUNDUP(('BİNA BİLGİLERİ'!B35*0.29)/10,0)</f>
        <v>3</v>
      </c>
      <c r="E216" s="16">
        <f t="shared" si="57"/>
        <v>1262.2080000000001</v>
      </c>
      <c r="F216" s="28">
        <f t="shared" si="58"/>
        <v>3786.6240000000003</v>
      </c>
      <c r="I216" s="84">
        <v>608</v>
      </c>
      <c r="J216" s="85">
        <f t="shared" si="62"/>
        <v>1824</v>
      </c>
      <c r="K216" s="28">
        <f t="shared" si="59"/>
        <v>729.6</v>
      </c>
      <c r="L216" s="28">
        <f t="shared" si="60"/>
        <v>946.65600000000006</v>
      </c>
      <c r="M216" s="86">
        <f t="shared" si="61"/>
        <v>0.29750000000000004</v>
      </c>
    </row>
    <row r="217" spans="1:13" ht="24.95" customHeight="1" x14ac:dyDescent="0.25">
      <c r="A217" s="27">
        <v>8</v>
      </c>
      <c r="B217" s="5" t="s">
        <v>152</v>
      </c>
      <c r="C217" s="6" t="s">
        <v>96</v>
      </c>
      <c r="D217" s="12">
        <v>0</v>
      </c>
      <c r="E217" s="16">
        <f t="shared" si="57"/>
        <v>1384.692</v>
      </c>
      <c r="F217" s="28">
        <f t="shared" si="58"/>
        <v>0</v>
      </c>
      <c r="I217" s="84">
        <v>667</v>
      </c>
      <c r="J217" s="85">
        <f t="shared" si="62"/>
        <v>0</v>
      </c>
      <c r="K217" s="28">
        <f t="shared" si="59"/>
        <v>800.4</v>
      </c>
      <c r="L217" s="28">
        <f t="shared" si="60"/>
        <v>1038.519</v>
      </c>
      <c r="M217" s="86">
        <f t="shared" si="61"/>
        <v>0.29750000000000004</v>
      </c>
    </row>
    <row r="218" spans="1:13" ht="24.95" customHeight="1" x14ac:dyDescent="0.25">
      <c r="A218" s="27">
        <v>9</v>
      </c>
      <c r="B218" s="5" t="s">
        <v>153</v>
      </c>
      <c r="C218" s="6" t="s">
        <v>154</v>
      </c>
      <c r="D218" s="12">
        <v>0</v>
      </c>
      <c r="E218" s="16">
        <f t="shared" si="57"/>
        <v>280.26</v>
      </c>
      <c r="F218" s="28">
        <f t="shared" si="58"/>
        <v>0</v>
      </c>
      <c r="I218" s="84">
        <v>135</v>
      </c>
      <c r="J218" s="85">
        <f t="shared" si="62"/>
        <v>0</v>
      </c>
      <c r="K218" s="28">
        <f t="shared" si="59"/>
        <v>162</v>
      </c>
      <c r="L218" s="28">
        <f t="shared" si="60"/>
        <v>210.19499999999999</v>
      </c>
      <c r="M218" s="86">
        <f t="shared" si="61"/>
        <v>0.29749999999999993</v>
      </c>
    </row>
    <row r="219" spans="1:13" ht="24.95" customHeight="1" x14ac:dyDescent="0.25">
      <c r="A219" s="27">
        <v>10</v>
      </c>
      <c r="B219" s="5" t="s">
        <v>207</v>
      </c>
      <c r="C219" s="6" t="s">
        <v>196</v>
      </c>
      <c r="D219" s="9">
        <f>IF((COUNTIF('BİNA BİLGİLERİ'!D32:F35,"YALIBASKI SİDİNG FİBERCEMENT")+COUNTIF('BİNA BİLGİLERİ'!D32:F35,"AĞAÇDESEN FUGALI FİBERCEMENT")+COUNTIF('BİNA BİLGİLERİ'!D32:F35,"TAŞDESEN FUGALI FİBERCEMENT")+COUNTIF('BİNA BİLGİLERİ'!D32:F35,"AHŞAP DESEN LEVHA")+COUNTIF('BİNA BİLGİLERİ'!D32:F35,"FİBERCEMENT LEVHA"))&gt;0,'BİNA BİLGİLERİ'!B2,50)</f>
        <v>50</v>
      </c>
      <c r="E219" s="16">
        <f t="shared" si="57"/>
        <v>66.432000000000002</v>
      </c>
      <c r="F219" s="28">
        <f t="shared" si="58"/>
        <v>3321.6</v>
      </c>
      <c r="I219" s="84">
        <v>32</v>
      </c>
      <c r="J219" s="85">
        <f t="shared" si="62"/>
        <v>1600</v>
      </c>
      <c r="K219" s="28">
        <f t="shared" si="59"/>
        <v>38.4</v>
      </c>
      <c r="L219" s="28">
        <f t="shared" si="60"/>
        <v>49.823999999999998</v>
      </c>
      <c r="M219" s="86">
        <f t="shared" si="61"/>
        <v>0.29749999999999999</v>
      </c>
    </row>
    <row r="220" spans="1:13" ht="24.95" customHeight="1" x14ac:dyDescent="0.25">
      <c r="A220" s="27">
        <v>11</v>
      </c>
      <c r="B220" s="5" t="s">
        <v>208</v>
      </c>
      <c r="C220" s="6" t="s">
        <v>196</v>
      </c>
      <c r="D220" s="11" t="s">
        <v>403</v>
      </c>
      <c r="E220" s="16">
        <f t="shared" si="57"/>
        <v>78.888000000000005</v>
      </c>
      <c r="F220" s="28">
        <f t="shared" si="58"/>
        <v>1183.3200000000002</v>
      </c>
      <c r="I220" s="84">
        <v>38</v>
      </c>
      <c r="J220" s="85">
        <f t="shared" si="62"/>
        <v>570</v>
      </c>
      <c r="K220" s="28">
        <f t="shared" si="59"/>
        <v>45.6</v>
      </c>
      <c r="L220" s="28">
        <f t="shared" si="60"/>
        <v>59.166000000000004</v>
      </c>
      <c r="M220" s="86">
        <f t="shared" si="61"/>
        <v>0.29750000000000004</v>
      </c>
    </row>
    <row r="221" spans="1:13" ht="24.95" customHeight="1" x14ac:dyDescent="0.25">
      <c r="A221" s="262"/>
      <c r="B221" s="263"/>
      <c r="C221" s="264"/>
      <c r="D221" s="66" t="s">
        <v>5</v>
      </c>
      <c r="E221" s="69"/>
      <c r="F221" s="68">
        <f>SUBTOTAL(9,F210:F220)</f>
        <v>42678.408000000003</v>
      </c>
      <c r="I221" s="68">
        <f>SUBTOTAL(9,I210:I220)</f>
        <v>11338</v>
      </c>
      <c r="J221" s="68">
        <f>SUBTOTAL(9,J210:J220)</f>
        <v>20558</v>
      </c>
      <c r="K221" s="68">
        <f>SUBTOTAL(9,K210:K220)</f>
        <v>13605.6</v>
      </c>
      <c r="L221" s="68">
        <f>SUBTOTAL(9,L210:L220)</f>
        <v>17653.266</v>
      </c>
      <c r="M221" s="68">
        <f>SUBTOTAL(9,M210:M220)</f>
        <v>3.2724999999999991</v>
      </c>
    </row>
    <row r="222" spans="1:13" ht="24.95" customHeight="1" x14ac:dyDescent="0.25">
      <c r="A222" s="262"/>
      <c r="B222" s="263"/>
      <c r="C222" s="264"/>
      <c r="D222" s="252" t="s">
        <v>100</v>
      </c>
      <c r="E222" s="253"/>
      <c r="F222" s="68">
        <f>+F37+F95+F74+F125+F135+F152+F193+F208+F221+F53</f>
        <v>1113475.7456068546</v>
      </c>
      <c r="I222" s="68">
        <f>+I37+I95+I74+I125+I135+I152+I193+I208+I221+I53</f>
        <v>132590.61789014167</v>
      </c>
      <c r="J222" s="68">
        <f>+J37+J95+J74+J125+J135+J152+J193+J208+J221+J53</f>
        <v>502340.24540090957</v>
      </c>
      <c r="K222" s="68">
        <f>+K37+K95+K74+K125+K135+K152+K193+K208+K221+K53</f>
        <v>159108.74146816999</v>
      </c>
      <c r="L222" s="68">
        <f>+L37+L95+L74+L125+L135+L152+L193+L208+L221+L53</f>
        <v>237928.07976010282</v>
      </c>
      <c r="M222" s="68">
        <f>+M37+M95+M74+M125+M135+M152+M193+M208+M221+M53</f>
        <v>3.2724999999999991</v>
      </c>
    </row>
    <row r="223" spans="1:13" ht="24.95" customHeight="1" x14ac:dyDescent="0.25">
      <c r="A223" s="262"/>
      <c r="B223" s="263"/>
      <c r="C223" s="264"/>
      <c r="D223" s="66" t="s">
        <v>87</v>
      </c>
      <c r="E223" s="66">
        <v>25</v>
      </c>
      <c r="F223" s="71">
        <f>F222*E223/100</f>
        <v>278368.93640171364</v>
      </c>
      <c r="G223" s="90" t="s">
        <v>317</v>
      </c>
      <c r="H223" s="92">
        <f>(F226-H225)/H225</f>
        <v>0.38536051486155537</v>
      </c>
      <c r="I223" s="71">
        <f>I222*Y223/100</f>
        <v>0</v>
      </c>
      <c r="J223" s="71">
        <f>J222*Y223/100</f>
        <v>0</v>
      </c>
      <c r="K223" s="71">
        <f>K222*I223/100</f>
        <v>0</v>
      </c>
      <c r="L223" s="71">
        <f>L222*J223/100</f>
        <v>0</v>
      </c>
      <c r="M223" s="71">
        <f>M222*K223/100</f>
        <v>0</v>
      </c>
    </row>
    <row r="224" spans="1:13" ht="24.95" customHeight="1" x14ac:dyDescent="0.25">
      <c r="A224" s="262"/>
      <c r="B224" s="263"/>
      <c r="C224" s="264"/>
      <c r="D224" s="252" t="s">
        <v>88</v>
      </c>
      <c r="E224" s="253"/>
      <c r="F224" s="71">
        <f>F222-F223</f>
        <v>835106.80920514092</v>
      </c>
      <c r="G224" s="90" t="s">
        <v>315</v>
      </c>
      <c r="H224" s="93">
        <f>J221+J208+J193+J152+J135+J125+J95+J74+J53+J37</f>
        <v>502340.24540090957</v>
      </c>
      <c r="I224" s="71">
        <f>I222-I223</f>
        <v>132590.61789014167</v>
      </c>
      <c r="J224" s="71">
        <f>J222-J223</f>
        <v>502340.24540090957</v>
      </c>
      <c r="K224" s="71">
        <f>K222-K223</f>
        <v>159108.74146816999</v>
      </c>
      <c r="L224" s="71">
        <f>L222-L223</f>
        <v>237928.07976010282</v>
      </c>
      <c r="M224" s="71">
        <f>M222-M223</f>
        <v>3.2724999999999991</v>
      </c>
    </row>
    <row r="225" spans="1:13" ht="24.95" customHeight="1" x14ac:dyDescent="0.25">
      <c r="A225" s="262"/>
      <c r="B225" s="263"/>
      <c r="C225" s="264"/>
      <c r="D225" s="66" t="s">
        <v>115</v>
      </c>
      <c r="E225" s="66"/>
      <c r="F225" s="71">
        <f>F224*E225/100</f>
        <v>0</v>
      </c>
      <c r="G225" s="90" t="s">
        <v>316</v>
      </c>
      <c r="H225" s="93">
        <f>H224*1.2</f>
        <v>602808.29448109143</v>
      </c>
      <c r="I225" s="71">
        <f>I224*Y225/100</f>
        <v>0</v>
      </c>
      <c r="J225" s="71">
        <f>J224*Y225/100</f>
        <v>0</v>
      </c>
      <c r="K225" s="71">
        <f>K224*I225/100</f>
        <v>0</v>
      </c>
      <c r="L225" s="71">
        <f>L224*J225/100</f>
        <v>0</v>
      </c>
      <c r="M225" s="71">
        <f>M224*K225/100</f>
        <v>0</v>
      </c>
    </row>
    <row r="226" spans="1:13" ht="24.95" customHeight="1" thickBot="1" x14ac:dyDescent="0.3">
      <c r="A226" s="270"/>
      <c r="B226" s="271"/>
      <c r="C226" s="272"/>
      <c r="D226" s="277" t="s">
        <v>86</v>
      </c>
      <c r="E226" s="277"/>
      <c r="F226" s="72">
        <f>F224+F225</f>
        <v>835106.80920514092</v>
      </c>
      <c r="G226" s="91" t="s">
        <v>314</v>
      </c>
      <c r="H226" s="93">
        <f>F226-H225</f>
        <v>232298.51472404948</v>
      </c>
      <c r="I226" s="72">
        <f>I224+I225</f>
        <v>132590.61789014167</v>
      </c>
      <c r="J226" s="72">
        <f>J224+J225</f>
        <v>502340.24540090957</v>
      </c>
      <c r="K226" s="72">
        <f>K224+K225</f>
        <v>159108.74146816999</v>
      </c>
      <c r="L226" s="72">
        <f>L224+L225</f>
        <v>237928.07976010282</v>
      </c>
      <c r="M226" s="72">
        <f>M224+M225</f>
        <v>3.2724999999999991</v>
      </c>
    </row>
    <row r="227" spans="1:13" ht="24.95" customHeight="1" thickBot="1" x14ac:dyDescent="0.3">
      <c r="A227" s="273" t="s">
        <v>255</v>
      </c>
      <c r="B227" s="274"/>
      <c r="C227" s="274"/>
      <c r="D227" s="80">
        <v>1011</v>
      </c>
      <c r="E227" s="81"/>
      <c r="F227" s="82"/>
      <c r="G227" s="26"/>
      <c r="I227" s="82"/>
      <c r="J227" s="82"/>
      <c r="K227" s="82"/>
      <c r="L227" s="82"/>
      <c r="M227" s="82"/>
    </row>
    <row r="230" spans="1:13" ht="24.95" customHeight="1" x14ac:dyDescent="0.25">
      <c r="A230"/>
    </row>
    <row r="231" spans="1:13" ht="24.95" customHeight="1" x14ac:dyDescent="0.25">
      <c r="A231"/>
    </row>
    <row r="232" spans="1:13" ht="24.95" customHeight="1" x14ac:dyDescent="0.25">
      <c r="A232"/>
    </row>
    <row r="233" spans="1:13" ht="24.95" customHeight="1" x14ac:dyDescent="0.25">
      <c r="A233"/>
    </row>
    <row r="234" spans="1:13" ht="24.95" customHeight="1" x14ac:dyDescent="0.25">
      <c r="A234"/>
    </row>
    <row r="235" spans="1:13" ht="24.95" customHeight="1" x14ac:dyDescent="0.25">
      <c r="A235"/>
    </row>
    <row r="236" spans="1:13" ht="24.95" customHeight="1" x14ac:dyDescent="0.25">
      <c r="A236"/>
    </row>
    <row r="237" spans="1:13" ht="24.95" customHeight="1" x14ac:dyDescent="0.25">
      <c r="A237"/>
    </row>
    <row r="238" spans="1:13" ht="24.95" customHeight="1" x14ac:dyDescent="0.25">
      <c r="A238"/>
    </row>
    <row r="239" spans="1:13" ht="24.95" customHeight="1" x14ac:dyDescent="0.25">
      <c r="A239"/>
    </row>
    <row r="240" spans="1:13" ht="24.95" customHeight="1" x14ac:dyDescent="0.25">
      <c r="A240"/>
    </row>
    <row r="241" spans="1:3" ht="24.95" customHeight="1" x14ac:dyDescent="0.25">
      <c r="A241"/>
    </row>
    <row r="242" spans="1:3" ht="24.95" customHeight="1" x14ac:dyDescent="0.25">
      <c r="A242"/>
    </row>
    <row r="243" spans="1:3" ht="24.95" customHeight="1" x14ac:dyDescent="0.25">
      <c r="A243"/>
    </row>
    <row r="244" spans="1:3" ht="24.95" customHeight="1" x14ac:dyDescent="0.25">
      <c r="A244"/>
    </row>
    <row r="245" spans="1:3" ht="24.95" customHeight="1" x14ac:dyDescent="0.25">
      <c r="A245"/>
    </row>
    <row r="246" spans="1:3" ht="24.95" customHeight="1" x14ac:dyDescent="0.25">
      <c r="A246"/>
    </row>
    <row r="247" spans="1:3" ht="24.95" customHeight="1" x14ac:dyDescent="0.25">
      <c r="A247"/>
    </row>
    <row r="248" spans="1:3" ht="24.95" customHeight="1" x14ac:dyDescent="0.25">
      <c r="A248"/>
    </row>
    <row r="249" spans="1:3" ht="24.95" customHeight="1" x14ac:dyDescent="0.25">
      <c r="A249"/>
    </row>
    <row r="250" spans="1:3" ht="24.95" customHeight="1" x14ac:dyDescent="0.25">
      <c r="A250" s="267"/>
      <c r="B250" s="267"/>
      <c r="C250" s="267"/>
    </row>
  </sheetData>
  <autoFilter ref="D8:D227" xr:uid="{00000000-0009-0000-0000-000000000000}"/>
  <mergeCells count="44">
    <mergeCell ref="I194:M194"/>
    <mergeCell ref="A250:C250"/>
    <mergeCell ref="A75:B75"/>
    <mergeCell ref="A95:C95"/>
    <mergeCell ref="A225:C225"/>
    <mergeCell ref="A226:C226"/>
    <mergeCell ref="A227:C227"/>
    <mergeCell ref="A208:C208"/>
    <mergeCell ref="A194:B194"/>
    <mergeCell ref="A222:C222"/>
    <mergeCell ref="A223:C223"/>
    <mergeCell ref="A224:C224"/>
    <mergeCell ref="A193:C193"/>
    <mergeCell ref="A126:B126"/>
    <mergeCell ref="A125:C125"/>
    <mergeCell ref="D226:E226"/>
    <mergeCell ref="A7:B7"/>
    <mergeCell ref="A96:B96"/>
    <mergeCell ref="A53:C53"/>
    <mergeCell ref="A152:C152"/>
    <mergeCell ref="C7:D7"/>
    <mergeCell ref="D224:E224"/>
    <mergeCell ref="A209:B209"/>
    <mergeCell ref="D222:E222"/>
    <mergeCell ref="A153:B153"/>
    <mergeCell ref="A9:B9"/>
    <mergeCell ref="A37:C37"/>
    <mergeCell ref="A74:C74"/>
    <mergeCell ref="A54:B54"/>
    <mergeCell ref="A136:B136"/>
    <mergeCell ref="A38:B38"/>
    <mergeCell ref="A135:C135"/>
    <mergeCell ref="A221:C221"/>
    <mergeCell ref="A1:B1"/>
    <mergeCell ref="A2:B2"/>
    <mergeCell ref="C2:D2"/>
    <mergeCell ref="A3:B3"/>
    <mergeCell ref="C3:D3"/>
    <mergeCell ref="A4:B4"/>
    <mergeCell ref="C4:D4"/>
    <mergeCell ref="A5:B5"/>
    <mergeCell ref="C5:D5"/>
    <mergeCell ref="C6:D6"/>
    <mergeCell ref="A6:B6"/>
  </mergeCells>
  <phoneticPr fontId="23" type="noConversion"/>
  <dataValidations count="3">
    <dataValidation type="list" allowBlank="1" showInputMessage="1" showErrorMessage="1" sqref="C5:D5" xr:uid="{00000000-0002-0000-0000-000000000000}">
      <formula1>"MUSA DOĞANAY,SAİT ERASLAN,MUTLU ŞENGÖL,CEM KARAKOÇ,BARIŞ ŞENGÖL"</formula1>
    </dataValidation>
    <dataValidation type="list" allowBlank="1" showInputMessage="1" showErrorMessage="1" sqref="C6:D6" xr:uid="{00000000-0002-0000-0000-000001000000}">
      <formula1>"CEM KARAKOÇ,BARIŞ ŞENGÖL,MUTLU ŞENGÖL,MUSA DOĞANAY"</formula1>
    </dataValidation>
    <dataValidation type="list" allowBlank="1" showInputMessage="1" showErrorMessage="1" sqref="C7:D7" xr:uid="{00000000-0002-0000-0000-000002000000}">
      <formula1>"TEKLİF ÇİZİMİ HAZIR,İMALAT ÇİZİMİ HAZIR,TEKLİF LİSTESİ HAZIR,ÜRETİM LİSTESİ HAZIR,ÜRETİME VERİLDİ"</formula1>
    </dataValidation>
  </dataValidations>
  <pageMargins left="0.25" right="0.25" top="0.75" bottom="0.75" header="0.3" footer="0.3"/>
  <pageSetup paperSize="9" scale="46" fitToHeight="0" orientation="portrait" r:id="rId1"/>
  <rowBreaks count="5" manualBreakCount="5">
    <brk id="95" max="16" man="1"/>
    <brk id="135" max="16" man="1"/>
    <brk id="152" max="16" man="1"/>
    <brk id="193" max="16" man="1"/>
    <brk id="227" max="5" man="1"/>
  </rowBreaks>
  <ignoredErrors>
    <ignoredError sqref="F224" formula="1"/>
    <ignoredError sqref="C62:C73" numberStoredAsText="1"/>
    <ignoredError sqref="M197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50B7C7F7-A80C-4D80-A86B-997ABE0D2FF8}">
            <xm:f>NOT(ISERROR(SEARCH($C$7,C7)))</xm:f>
            <xm:f>$C$7</xm:f>
            <x14:dxf/>
          </x14:cfRule>
          <xm:sqref>C7:D7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1066C6-49B7-4F2F-BA9E-26188CA4C088}">
          <x14:formula1>
            <xm:f>İSİMLENDİRME!$A$34:$A$41</xm:f>
          </x14:formula1>
          <xm:sqref>B39:B48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9C25-5C5E-43F0-B675-6132076C773F}">
  <dimension ref="A1:Z52"/>
  <sheetViews>
    <sheetView topLeftCell="A6" workbookViewId="0">
      <selection activeCell="O42" sqref="O42"/>
    </sheetView>
  </sheetViews>
  <sheetFormatPr defaultRowHeight="15" x14ac:dyDescent="0.25"/>
  <cols>
    <col min="1" max="1" width="44.42578125" bestFit="1" customWidth="1"/>
    <col min="7" max="7" width="29.5703125" customWidth="1"/>
  </cols>
  <sheetData>
    <row r="1" spans="1:1" x14ac:dyDescent="0.25">
      <c r="A1" t="s">
        <v>374</v>
      </c>
    </row>
    <row r="2" spans="1:1" x14ac:dyDescent="0.25">
      <c r="A2" t="s">
        <v>375</v>
      </c>
    </row>
    <row r="10" spans="1:1" x14ac:dyDescent="0.25">
      <c r="A10" t="s">
        <v>379</v>
      </c>
    </row>
    <row r="11" spans="1:1" x14ac:dyDescent="0.25">
      <c r="A11" s="105" t="s">
        <v>377</v>
      </c>
    </row>
    <row r="12" spans="1:1" x14ac:dyDescent="0.25">
      <c r="A12" s="106" t="s">
        <v>378</v>
      </c>
    </row>
    <row r="15" spans="1:1" ht="14.25" customHeight="1" x14ac:dyDescent="0.25"/>
    <row r="17" spans="9:19" x14ac:dyDescent="0.25">
      <c r="P17" s="107">
        <f>'BİNA BİLGİLERİ'!B11</f>
        <v>0.3</v>
      </c>
      <c r="Q17">
        <f>VLOOKUP(P17,P19:Q26,2,1)</f>
        <v>1.044</v>
      </c>
      <c r="R17">
        <f>'BİNA BİLGİLERİ'!B12+'BİNA BİLGİLERİ'!B36</f>
        <v>121.384</v>
      </c>
      <c r="S17">
        <f>Q17*R17</f>
        <v>126.724896</v>
      </c>
    </row>
    <row r="19" spans="9:19" x14ac:dyDescent="0.25">
      <c r="P19" s="108">
        <v>0.25</v>
      </c>
      <c r="Q19" s="109">
        <v>1.0307999999999999</v>
      </c>
    </row>
    <row r="20" spans="9:19" x14ac:dyDescent="0.25">
      <c r="P20" s="108">
        <v>0.3</v>
      </c>
      <c r="Q20" s="109">
        <v>1.044</v>
      </c>
    </row>
    <row r="21" spans="9:19" x14ac:dyDescent="0.25">
      <c r="P21" s="108">
        <v>0.35</v>
      </c>
      <c r="Q21" s="109">
        <v>1.0595000000000001</v>
      </c>
    </row>
    <row r="22" spans="9:19" x14ac:dyDescent="0.25">
      <c r="P22" s="108">
        <v>0.4</v>
      </c>
      <c r="Q22" s="109">
        <v>1.077</v>
      </c>
    </row>
    <row r="23" spans="9:19" x14ac:dyDescent="0.25">
      <c r="P23" s="108">
        <v>0.45</v>
      </c>
      <c r="Q23" s="109">
        <v>1.0966</v>
      </c>
    </row>
    <row r="24" spans="9:19" x14ac:dyDescent="0.25">
      <c r="P24" s="108">
        <v>0.5</v>
      </c>
      <c r="Q24" s="109">
        <v>1.1180000000000001</v>
      </c>
    </row>
    <row r="25" spans="9:19" x14ac:dyDescent="0.25">
      <c r="P25" s="108">
        <v>0.55000000000000004</v>
      </c>
      <c r="Q25" s="109">
        <v>1.1413</v>
      </c>
    </row>
    <row r="26" spans="9:19" x14ac:dyDescent="0.25">
      <c r="P26" s="108">
        <v>0.6</v>
      </c>
      <c r="Q26" s="109">
        <v>1.1661999999999999</v>
      </c>
    </row>
    <row r="28" spans="9:19" x14ac:dyDescent="0.25">
      <c r="I28">
        <v>1</v>
      </c>
    </row>
    <row r="29" spans="9:19" x14ac:dyDescent="0.25">
      <c r="I29">
        <v>2</v>
      </c>
    </row>
    <row r="32" spans="9:19" x14ac:dyDescent="0.25">
      <c r="L32" t="s">
        <v>404</v>
      </c>
    </row>
    <row r="33" spans="1:26" x14ac:dyDescent="0.25">
      <c r="L33" t="s">
        <v>405</v>
      </c>
    </row>
    <row r="34" spans="1:26" ht="15.75" x14ac:dyDescent="0.25">
      <c r="A34" s="6" t="s">
        <v>221</v>
      </c>
      <c r="L34" t="s">
        <v>406</v>
      </c>
      <c r="Z34">
        <v>8</v>
      </c>
    </row>
    <row r="35" spans="1:26" ht="15.75" x14ac:dyDescent="0.25">
      <c r="A35" s="6" t="s">
        <v>132</v>
      </c>
      <c r="L35" t="s">
        <v>407</v>
      </c>
      <c r="Z35">
        <v>16</v>
      </c>
    </row>
    <row r="36" spans="1:26" ht="15.75" x14ac:dyDescent="0.25">
      <c r="A36" s="6" t="s">
        <v>388</v>
      </c>
      <c r="Z36">
        <v>12</v>
      </c>
    </row>
    <row r="37" spans="1:26" ht="15.75" x14ac:dyDescent="0.25">
      <c r="A37" s="6" t="s">
        <v>211</v>
      </c>
      <c r="Z37">
        <v>7</v>
      </c>
    </row>
    <row r="38" spans="1:26" ht="15.75" x14ac:dyDescent="0.25">
      <c r="A38" s="6" t="s">
        <v>135</v>
      </c>
      <c r="Z38">
        <v>5</v>
      </c>
    </row>
    <row r="39" spans="1:26" ht="15.75" x14ac:dyDescent="0.25">
      <c r="A39" s="6" t="s">
        <v>148</v>
      </c>
      <c r="G39" s="5" t="s">
        <v>174</v>
      </c>
      <c r="Z39">
        <v>4</v>
      </c>
    </row>
    <row r="40" spans="1:26" ht="15.75" x14ac:dyDescent="0.25">
      <c r="A40" s="6" t="s">
        <v>209</v>
      </c>
      <c r="G40" s="5" t="s">
        <v>25</v>
      </c>
      <c r="O40" t="s">
        <v>426</v>
      </c>
      <c r="Z40">
        <v>5</v>
      </c>
    </row>
    <row r="41" spans="1:26" ht="15.75" x14ac:dyDescent="0.25">
      <c r="A41" s="6" t="s">
        <v>127</v>
      </c>
      <c r="G41" s="5" t="s">
        <v>176</v>
      </c>
      <c r="O41" t="s">
        <v>427</v>
      </c>
      <c r="Z41">
        <v>15</v>
      </c>
    </row>
    <row r="42" spans="1:26" ht="15.75" x14ac:dyDescent="0.25">
      <c r="A42" s="5" t="s">
        <v>397</v>
      </c>
      <c r="Z42">
        <v>1</v>
      </c>
    </row>
    <row r="43" spans="1:26" ht="15.75" x14ac:dyDescent="0.25">
      <c r="A43" s="5" t="s">
        <v>398</v>
      </c>
      <c r="Z43">
        <v>2</v>
      </c>
    </row>
    <row r="44" spans="1:26" ht="15.75" x14ac:dyDescent="0.25">
      <c r="A44" s="5" t="s">
        <v>176</v>
      </c>
      <c r="Z44">
        <v>1</v>
      </c>
    </row>
    <row r="45" spans="1:26" x14ac:dyDescent="0.25">
      <c r="A45" t="s">
        <v>393</v>
      </c>
      <c r="G45">
        <v>80</v>
      </c>
      <c r="H45">
        <v>2</v>
      </c>
      <c r="Z45">
        <v>1</v>
      </c>
    </row>
    <row r="46" spans="1:26" x14ac:dyDescent="0.25">
      <c r="A46" t="s">
        <v>394</v>
      </c>
      <c r="G46">
        <v>90</v>
      </c>
      <c r="H46">
        <v>2</v>
      </c>
      <c r="Z46">
        <v>5</v>
      </c>
    </row>
    <row r="47" spans="1:26" x14ac:dyDescent="0.25">
      <c r="G47">
        <v>140</v>
      </c>
      <c r="H47">
        <v>3</v>
      </c>
      <c r="Z47">
        <v>5</v>
      </c>
    </row>
    <row r="48" spans="1:26" x14ac:dyDescent="0.25">
      <c r="G48">
        <v>200</v>
      </c>
      <c r="H48">
        <v>4</v>
      </c>
      <c r="Z48">
        <v>3</v>
      </c>
    </row>
    <row r="49" spans="7:26" x14ac:dyDescent="0.25">
      <c r="G49">
        <v>300</v>
      </c>
      <c r="H49">
        <v>6</v>
      </c>
      <c r="Z49">
        <v>5</v>
      </c>
    </row>
    <row r="50" spans="7:26" x14ac:dyDescent="0.25">
      <c r="Z50">
        <v>5</v>
      </c>
    </row>
    <row r="51" spans="7:26" x14ac:dyDescent="0.25">
      <c r="Z51">
        <v>1</v>
      </c>
    </row>
    <row r="52" spans="7:26" x14ac:dyDescent="0.25">
      <c r="Z5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J24"/>
  <sheetViews>
    <sheetView workbookViewId="0">
      <selection activeCell="B33" sqref="B33"/>
    </sheetView>
  </sheetViews>
  <sheetFormatPr defaultRowHeight="15" x14ac:dyDescent="0.25"/>
  <cols>
    <col min="2" max="2" width="35.85546875" bestFit="1" customWidth="1"/>
    <col min="3" max="3" width="14.140625" bestFit="1" customWidth="1"/>
    <col min="4" max="4" width="7" bestFit="1" customWidth="1"/>
    <col min="5" max="5" width="27" bestFit="1" customWidth="1"/>
    <col min="6" max="6" width="23.28515625" bestFit="1" customWidth="1"/>
    <col min="9" max="9" width="27.5703125" bestFit="1" customWidth="1"/>
  </cols>
  <sheetData>
    <row r="8" spans="2:10" ht="15.75" thickBot="1" x14ac:dyDescent="0.3"/>
    <row r="9" spans="2:10" ht="21" x14ac:dyDescent="0.35">
      <c r="B9" s="278"/>
      <c r="C9" s="279"/>
      <c r="D9" s="279"/>
      <c r="E9" s="279"/>
      <c r="F9" s="280"/>
      <c r="G9" s="41"/>
      <c r="H9" s="41"/>
      <c r="I9" s="42" t="s">
        <v>212</v>
      </c>
      <c r="J9" s="43"/>
    </row>
    <row r="10" spans="2:10" x14ac:dyDescent="0.25">
      <c r="B10" s="44"/>
      <c r="C10" s="45" t="s">
        <v>213</v>
      </c>
      <c r="D10" s="45" t="s">
        <v>29</v>
      </c>
      <c r="E10" s="45" t="s">
        <v>214</v>
      </c>
      <c r="F10" s="46" t="s">
        <v>215</v>
      </c>
      <c r="G10" s="47"/>
      <c r="H10" s="47"/>
      <c r="I10" s="42" t="s">
        <v>216</v>
      </c>
      <c r="J10" s="43"/>
    </row>
    <row r="11" spans="2:10" ht="18.75" x14ac:dyDescent="0.25">
      <c r="B11" s="48" t="s">
        <v>217</v>
      </c>
      <c r="C11" s="42">
        <f>J9+J10+2*J11</f>
        <v>0</v>
      </c>
      <c r="D11" s="42">
        <f>C11/0.45</f>
        <v>0</v>
      </c>
      <c r="E11" s="42">
        <f>D11*1.03</f>
        <v>0</v>
      </c>
      <c r="F11" s="49">
        <f>ROUNDUP(E11,0)</f>
        <v>0</v>
      </c>
      <c r="G11" s="47"/>
      <c r="H11" s="47"/>
      <c r="I11" s="42" t="s">
        <v>218</v>
      </c>
      <c r="J11" s="43"/>
    </row>
    <row r="12" spans="2:10" ht="18.75" x14ac:dyDescent="0.25">
      <c r="B12" s="48" t="s">
        <v>241</v>
      </c>
      <c r="C12" s="42">
        <f>J9*2</f>
        <v>0</v>
      </c>
      <c r="D12" s="42">
        <f>C12/14.4</f>
        <v>0</v>
      </c>
      <c r="E12" s="42">
        <f>D12*1.03</f>
        <v>0</v>
      </c>
      <c r="F12" s="49">
        <f>ROUNDUP(E12,0)</f>
        <v>0</v>
      </c>
      <c r="G12" s="47"/>
      <c r="H12" s="47"/>
      <c r="I12" s="42" t="s">
        <v>219</v>
      </c>
      <c r="J12" s="43"/>
    </row>
    <row r="13" spans="2:10" ht="18.75" x14ac:dyDescent="0.25">
      <c r="B13" s="48" t="s">
        <v>242</v>
      </c>
      <c r="C13" s="42">
        <f>J13+J15</f>
        <v>0</v>
      </c>
      <c r="D13" s="42">
        <f>C13/14.4</f>
        <v>0</v>
      </c>
      <c r="E13" s="42">
        <f>D13*1.03</f>
        <v>0</v>
      </c>
      <c r="F13" s="49">
        <f>ROUNDUP(E13,0)</f>
        <v>0</v>
      </c>
      <c r="G13" s="47"/>
      <c r="H13" s="47"/>
      <c r="I13" s="42" t="s">
        <v>220</v>
      </c>
      <c r="J13" s="43"/>
    </row>
    <row r="14" spans="2:10" ht="18.75" x14ac:dyDescent="0.25">
      <c r="B14" s="48" t="s">
        <v>221</v>
      </c>
      <c r="C14" s="42">
        <f>2*J9+4*J13+J14+J15+J20</f>
        <v>0</v>
      </c>
      <c r="D14" s="42">
        <f>C14/3</f>
        <v>0</v>
      </c>
      <c r="E14" s="42">
        <f>D14*1.03</f>
        <v>0</v>
      </c>
      <c r="F14" s="49">
        <f>ROUNDUP(E14,0)-F19</f>
        <v>0</v>
      </c>
      <c r="G14" s="47"/>
      <c r="H14" s="47"/>
      <c r="I14" s="42" t="s">
        <v>222</v>
      </c>
      <c r="J14" s="43"/>
    </row>
    <row r="15" spans="2:10" ht="18.75" x14ac:dyDescent="0.25">
      <c r="B15" s="48" t="s">
        <v>223</v>
      </c>
      <c r="C15" s="42">
        <f>J9+J10+J11+J12+J21</f>
        <v>0</v>
      </c>
      <c r="D15" s="42">
        <f>C15/10</f>
        <v>0</v>
      </c>
      <c r="E15" s="42">
        <f>D15*1.03</f>
        <v>0</v>
      </c>
      <c r="F15" s="49">
        <f>ROUNDUP(E15,0)</f>
        <v>0</v>
      </c>
      <c r="G15" s="47"/>
      <c r="H15" s="47"/>
      <c r="I15" s="42" t="s">
        <v>224</v>
      </c>
      <c r="J15" s="43"/>
    </row>
    <row r="16" spans="2:10" ht="18.75" x14ac:dyDescent="0.25">
      <c r="B16" s="48" t="s">
        <v>225</v>
      </c>
      <c r="C16" s="42">
        <f>J24</f>
        <v>0</v>
      </c>
      <c r="D16" s="42">
        <f>C16/9.6</f>
        <v>0</v>
      </c>
      <c r="E16" s="42">
        <f t="shared" ref="E16:E23" si="0">D16*1.03</f>
        <v>0</v>
      </c>
      <c r="F16" s="49">
        <f t="shared" ref="F16:F23" si="1">ROUNDUP(E16,0)</f>
        <v>0</v>
      </c>
      <c r="G16" s="47"/>
      <c r="H16" s="47"/>
      <c r="I16" s="42" t="s">
        <v>226</v>
      </c>
      <c r="J16" s="43"/>
    </row>
    <row r="17" spans="2:10" ht="18.75" x14ac:dyDescent="0.25">
      <c r="B17" s="48" t="s">
        <v>227</v>
      </c>
      <c r="C17" s="42">
        <f>J9+J10+J11+J12+J16</f>
        <v>0</v>
      </c>
      <c r="D17" s="42">
        <f>C17/2.97</f>
        <v>0</v>
      </c>
      <c r="E17" s="42">
        <f t="shared" si="0"/>
        <v>0</v>
      </c>
      <c r="F17" s="49">
        <f>ROUNDUP(E17,0)</f>
        <v>0</v>
      </c>
      <c r="G17" s="47"/>
      <c r="H17" s="47"/>
      <c r="I17" s="42" t="s">
        <v>228</v>
      </c>
      <c r="J17" s="43"/>
    </row>
    <row r="18" spans="2:10" ht="18.75" x14ac:dyDescent="0.25">
      <c r="B18" s="48" t="s">
        <v>229</v>
      </c>
      <c r="C18" s="42">
        <f>J16</f>
        <v>0</v>
      </c>
      <c r="D18" s="42">
        <f>C18/2.97</f>
        <v>0</v>
      </c>
      <c r="E18" s="42">
        <f t="shared" si="0"/>
        <v>0</v>
      </c>
      <c r="F18" s="49">
        <f t="shared" si="1"/>
        <v>0</v>
      </c>
      <c r="G18" s="47"/>
      <c r="H18" s="47"/>
      <c r="I18" s="42" t="s">
        <v>230</v>
      </c>
      <c r="J18" s="43"/>
    </row>
    <row r="19" spans="2:10" ht="18.75" x14ac:dyDescent="0.25">
      <c r="B19" s="50" t="s">
        <v>110</v>
      </c>
      <c r="C19" s="51">
        <f>(J18)</f>
        <v>0</v>
      </c>
      <c r="D19" s="42">
        <f>C19/3</f>
        <v>0</v>
      </c>
      <c r="E19" s="42">
        <f>D19*1.03</f>
        <v>0</v>
      </c>
      <c r="F19" s="49">
        <f>ROUNDUP(E19,0)</f>
        <v>0</v>
      </c>
      <c r="G19" s="47"/>
      <c r="H19" s="47"/>
      <c r="I19" s="42" t="s">
        <v>231</v>
      </c>
      <c r="J19" s="43"/>
    </row>
    <row r="20" spans="2:10" ht="18.75" x14ac:dyDescent="0.25">
      <c r="B20" s="48" t="s">
        <v>232</v>
      </c>
      <c r="C20" s="51">
        <f>J9+J10+2*J11+J12</f>
        <v>0</v>
      </c>
      <c r="D20" s="42">
        <f>C20/1.025</f>
        <v>0</v>
      </c>
      <c r="E20" s="42">
        <f>D20*1.07</f>
        <v>0</v>
      </c>
      <c r="F20" s="49">
        <f>ROUNDUP(E20,0)</f>
        <v>0</v>
      </c>
      <c r="G20" s="47"/>
      <c r="H20" s="47"/>
      <c r="I20" s="42" t="s">
        <v>233</v>
      </c>
      <c r="J20" s="43"/>
    </row>
    <row r="21" spans="2:10" ht="19.5" thickBot="1" x14ac:dyDescent="0.3">
      <c r="B21" s="52" t="s">
        <v>234</v>
      </c>
      <c r="C21" s="53">
        <f>(J15+J19)</f>
        <v>0</v>
      </c>
      <c r="D21" s="53">
        <f>C21/3.125</f>
        <v>0</v>
      </c>
      <c r="E21" s="53">
        <f t="shared" si="0"/>
        <v>0</v>
      </c>
      <c r="F21" s="54">
        <f t="shared" si="1"/>
        <v>0</v>
      </c>
      <c r="G21" s="47"/>
      <c r="H21" s="47"/>
      <c r="I21" s="42" t="s">
        <v>235</v>
      </c>
      <c r="J21" s="43"/>
    </row>
    <row r="22" spans="2:10" ht="19.5" thickBot="1" x14ac:dyDescent="0.3">
      <c r="B22" s="55" t="s">
        <v>236</v>
      </c>
      <c r="C22" s="56">
        <f>(J22)</f>
        <v>0</v>
      </c>
      <c r="D22" s="56">
        <f>C22/2.5</f>
        <v>0</v>
      </c>
      <c r="E22" s="56">
        <f>D22*1.01</f>
        <v>0</v>
      </c>
      <c r="F22" s="57">
        <f t="shared" si="1"/>
        <v>0</v>
      </c>
      <c r="G22" s="47"/>
      <c r="H22" s="47"/>
      <c r="I22" s="42" t="s">
        <v>237</v>
      </c>
      <c r="J22" s="43"/>
    </row>
    <row r="23" spans="2:10" ht="19.5" thickBot="1" x14ac:dyDescent="0.3">
      <c r="B23" s="48" t="s">
        <v>238</v>
      </c>
      <c r="C23" s="56">
        <f>J9+J10+J11+J12</f>
        <v>0</v>
      </c>
      <c r="D23" s="56">
        <f>C23/2.88</f>
        <v>0</v>
      </c>
      <c r="E23" s="56">
        <f t="shared" si="0"/>
        <v>0</v>
      </c>
      <c r="F23" s="57">
        <f t="shared" si="1"/>
        <v>0</v>
      </c>
      <c r="G23" s="47"/>
      <c r="H23" s="47"/>
      <c r="I23" s="42" t="s">
        <v>239</v>
      </c>
      <c r="J23" s="43"/>
    </row>
    <row r="24" spans="2:10" x14ac:dyDescent="0.25">
      <c r="G24" s="47"/>
      <c r="H24" s="47"/>
      <c r="I24" s="42" t="s">
        <v>240</v>
      </c>
      <c r="J24" s="43"/>
    </row>
  </sheetData>
  <mergeCells count="1"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BİNA BİLGİLERİ</vt:lpstr>
      <vt:lpstr>TEKLİF</vt:lpstr>
      <vt:lpstr>İSİMLENDİRME</vt:lpstr>
      <vt:lpstr>FORMÜL</vt:lpstr>
      <vt:lpstr>TEKLİF!Yazdırma_Alanı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2026-08-04T14:47:55Z</dcterms:modified>
</cp:coreProperties>
</file>